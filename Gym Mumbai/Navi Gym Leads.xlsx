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Raw" sheetId="2" r:id="rId6"/>
    <sheet state="visible" name="Navi Gym Lead" sheetId="3" r:id="rId7"/>
  </sheets>
  <definedNames/>
  <calcPr/>
</workbook>
</file>

<file path=xl/sharedStrings.xml><?xml version="1.0" encoding="utf-8"?>
<sst xmlns="http://schemas.openxmlformats.org/spreadsheetml/2006/main" count="2245" uniqueCount="869">
  <si>
    <t>S.No</t>
  </si>
  <si>
    <t>Navi Mumbai Gyms — Lead Generation Dataset</t>
  </si>
  <si>
    <t>Area/Location</t>
  </si>
  <si>
    <t>Full Address</t>
  </si>
  <si>
    <t>Contact Number</t>
  </si>
  <si>
    <r>
      <rPr>
        <rFont val="Arial"/>
        <b/>
        <color theme="1"/>
        <sz val="14.0"/>
      </rPr>
      <t xml:space="preserve">Total Records: </t>
    </r>
    <r>
      <rPr>
        <rFont val="Arial"/>
        <color theme="1"/>
        <sz val="14.0"/>
      </rPr>
      <t>156 gyms located across Navi Mumbai.</t>
    </r>
  </si>
  <si>
    <t>Google Maps Link</t>
  </si>
  <si>
    <r>
      <rPr>
        <rFont val="Arial"/>
        <color theme="1"/>
        <sz val="14.0"/>
      </rPr>
      <t xml:space="preserve">Data sourced from </t>
    </r>
    <r>
      <rPr>
        <rFont val="Arial"/>
        <b/>
        <color theme="1"/>
        <sz val="14.0"/>
      </rPr>
      <t>Google Maps, official websites, and public social media profiles.</t>
    </r>
  </si>
  <si>
    <t>Gym Name</t>
  </si>
  <si>
    <t>Includes gym name, address, contact details, email, website, social media, Google rating, and review count.</t>
  </si>
  <si>
    <t>Google Maps link is provided for each gym.</t>
  </si>
  <si>
    <t>Duplicate entries have been removed.</t>
  </si>
  <si>
    <t>Google Rating</t>
  </si>
  <si>
    <t>Google Map</t>
  </si>
  <si>
    <t>Number of Reviews</t>
  </si>
  <si>
    <r>
      <rPr>
        <rFont val="Arial"/>
        <color theme="1"/>
        <sz val="14.0"/>
      </rPr>
      <t>Missing information is marked as "</t>
    </r>
    <r>
      <rPr>
        <rFont val="Arial"/>
        <b/>
        <color theme="1"/>
        <sz val="14.0"/>
      </rPr>
      <t>Not Available"</t>
    </r>
    <r>
      <rPr>
        <rFont val="Arial"/>
        <color theme="1"/>
        <sz val="14.0"/>
      </rPr>
      <t xml:space="preserve"> or </t>
    </r>
    <r>
      <rPr>
        <rFont val="Arial"/>
        <b/>
        <color theme="1"/>
        <sz val="14.0"/>
      </rPr>
      <t>"Not publicly listed"</t>
    </r>
    <r>
      <rPr>
        <rFont val="Arial"/>
        <color theme="1"/>
        <sz val="14.0"/>
      </rPr>
      <t>.</t>
    </r>
  </si>
  <si>
    <t>Email Address</t>
  </si>
  <si>
    <t>Contact details include only information that is publicly accessible.</t>
  </si>
  <si>
    <t>Website</t>
  </si>
  <si>
    <t>Ratings and review counts are based on Google Maps at the time of data collection.</t>
  </si>
  <si>
    <t>Instagram</t>
  </si>
  <si>
    <t>Data has been organized in a structured Excel format with clearly labeled columns.</t>
  </si>
  <si>
    <t>Facebook</t>
  </si>
  <si>
    <r>
      <rPr>
        <rFont val="Arial"/>
        <color theme="1"/>
        <sz val="14.0"/>
      </rPr>
      <t xml:space="preserve">Collected solely for </t>
    </r>
    <r>
      <rPr>
        <rFont val="Arial"/>
        <b/>
        <color theme="1"/>
        <sz val="14.0"/>
      </rPr>
      <t>lead generation and research purposes</t>
    </r>
    <r>
      <rPr>
        <rFont val="Arial"/>
        <color theme="1"/>
        <sz val="14.0"/>
      </rPr>
      <t xml:space="preserve"> using publicly available information.</t>
    </r>
  </si>
  <si>
    <t>2 More Fitness Gym</t>
  </si>
  <si>
    <t>Instagram/Facebook</t>
  </si>
  <si>
    <t>Rabale</t>
  </si>
  <si>
    <t>Trimbakeshwar Apt, Sector 30D, near Balaji Park, Sector 30, Rabale, Navi Mumbai, Maharashtra 400701</t>
  </si>
  <si>
    <t>Vashi</t>
  </si>
  <si>
    <t>Shop no 16, Ground Floor, Satra Plaza, Palm Beach Rd, Phase 2, Sector 19D, Vashi, Navi Mumbai, Maharashtra 400703</t>
  </si>
  <si>
    <t>91 89767 22977</t>
  </si>
  <si>
    <r>
      <rPr>
        <rFont val="Arial, sans-serif"/>
        <color rgb="FF1155CC"/>
        <u/>
      </rPr>
      <t>https://www.google.com/maps/place/?q=place_id:ChIJRa3DCunB5zsRoexUMQbO5T8</t>
    </r>
  </si>
  <si>
    <t>96193 97773</t>
  </si>
  <si>
    <t>Not Available</t>
  </si>
  <si>
    <t>4 Fitness gym</t>
  </si>
  <si>
    <t>Ghansoli</t>
  </si>
  <si>
    <t>1st floor, Plot no. 14, Sector 8, Ghansoli, Navi Mumbai, Maharashtra 400701</t>
  </si>
  <si>
    <t>Kenzo Fitness Vashi | Kenzo pilates</t>
  </si>
  <si>
    <t>Kenzo Fitness</t>
  </si>
  <si>
    <t>79773 94068</t>
  </si>
  <si>
    <r>
      <rPr>
        <color rgb="FF1155CC"/>
        <u/>
      </rPr>
      <t>https://www.instagram.com/kenzofitnessindia/</t>
    </r>
  </si>
  <si>
    <t>https://www.facebook.com/kenzofitnessindia/</t>
  </si>
  <si>
    <t>4FIT GYM - EMPOWERING BODIES</t>
  </si>
  <si>
    <t>Kopar Khairane</t>
  </si>
  <si>
    <t>1st floor, Balaji Exotica, Plot no. 31, Sector 9, Kopar Khairane, Navi Mumbai, Maharashtra 400709</t>
  </si>
  <si>
    <t>500 B Wing, 2nd Floor, Vashi Plaza, Plot No 80 and 81, Sector 17, Vashi, Navi Mumbai, Maharashtra 400703</t>
  </si>
  <si>
    <t>95944 14178</t>
  </si>
  <si>
    <t>91 91670 00877</t>
  </si>
  <si>
    <r>
      <rPr>
        <rFont val="Arial, sans-serif"/>
        <color rgb="FF1155CC"/>
        <u/>
      </rPr>
      <t>https://www.google.com/maps/place/?q=place_id:ChIJPUki99zB5zsR8aHLAUEdz0A</t>
    </r>
  </si>
  <si>
    <t>Ragnor Fitness Arena Vashi</t>
  </si>
  <si>
    <t>AEI Fitness</t>
  </si>
  <si>
    <t>ragnorfitnessarena@gmail.com</t>
  </si>
  <si>
    <t>Ulwe</t>
  </si>
  <si>
    <t>8th Floor, NMS Icon, Plot No 194, Sector 19, Ulwe, Navi Mumbai, Maharashtra 410206</t>
  </si>
  <si>
    <t>https://www.instagram.com/ragnorfitness/</t>
  </si>
  <si>
    <t>77158 03788</t>
  </si>
  <si>
    <t>https://www.facebook.com/ragnorfitness/</t>
  </si>
  <si>
    <t>1st Floor, Krishna Residency, Plot no. 97, Sector 29, Vashi, Navi Mumbai, Maharashtra 400703</t>
  </si>
  <si>
    <t>Aesthetic Arena Fitness Center</t>
  </si>
  <si>
    <t>Panvel</t>
  </si>
  <si>
    <r>
      <rPr>
        <rFont val="Arial, sans-serif"/>
        <color rgb="FF1155CC"/>
        <u/>
      </rPr>
      <t>https://www.google.com/maps/place/?q=place_id:ChIJlYLQSZ7B5zsRApygL4U2J50</t>
    </r>
  </si>
  <si>
    <t>Shop No 06, Aditya Vihar CHS, Mahatma Phule Rd, Old Panvel, Panvel, Maharashtra 410206</t>
  </si>
  <si>
    <t>85912 22344</t>
  </si>
  <si>
    <t>Tungsten Fitness Club (TFC) - Vashi</t>
  </si>
  <si>
    <t>tungstenfitnessclub@gmail.com</t>
  </si>
  <si>
    <r>
      <rPr>
        <color rgb="FF1155CC"/>
        <u/>
      </rPr>
      <t>https://tungstenfitnessclub.com/</t>
    </r>
  </si>
  <si>
    <t>Aesthetic Fitness</t>
  </si>
  <si>
    <t>https://www.instagram.com/tungstenfitnessclub/</t>
  </si>
  <si>
    <t>Kharghar</t>
  </si>
  <si>
    <t>Shop 08/09, Sai Sakshaat society, Sector-06, Kharghar, Panvel, Maharashtra 410210</t>
  </si>
  <si>
    <t>89286 03693</t>
  </si>
  <si>
    <t>https://www.facebook.com/tungstenfitnessclub/</t>
  </si>
  <si>
    <t>Shop 1, 1st Floor, Ganesh Tower, Sector 1, Vashi, Navi Mumbai, Maharashtra 400703</t>
  </si>
  <si>
    <r>
      <rPr>
        <rFont val="Arial, sans-serif"/>
        <color rgb="FF1155CC"/>
        <u/>
      </rPr>
      <t>https://www.google.com/maps/place/?q=place_id:ChIJ9flM1qzp5zsRY151CC6z8II</t>
    </r>
  </si>
  <si>
    <t>Akhada Unisex Fitness Zone</t>
  </si>
  <si>
    <t>Nerul</t>
  </si>
  <si>
    <t>Sukhshanti Society, Plot no A-7, Nerul East, Sector 20, Nerul, Navi Mumbai, Maharashtra 400706</t>
  </si>
  <si>
    <t>95945 75707</t>
  </si>
  <si>
    <t>ZenXFit</t>
  </si>
  <si>
    <t>info.zenxfit@gmail.com</t>
  </si>
  <si>
    <r>
      <rPr>
        <color rgb="FF1155CC"/>
        <u/>
      </rPr>
      <t>https://zenxfit.in/</t>
    </r>
  </si>
  <si>
    <t>Anytime Fitness</t>
  </si>
  <si>
    <t>Sanpada</t>
  </si>
  <si>
    <t>Kshitij Towers, Palm Beach Service Road, Sector 19, Sanpada, Navi Mumbai, Maharashtra 400705</t>
  </si>
  <si>
    <t>95209 82437</t>
  </si>
  <si>
    <r>
      <rPr>
        <color rgb="FF1155CC"/>
        <u/>
      </rPr>
      <t>https://www.instagram.com/zenxfit/</t>
    </r>
  </si>
  <si>
    <t>1st Floor, Marine Street, Juhu Nagar Rd, Sector 11, Vashi, Navi Mumbai, Maharashtra 400703</t>
  </si>
  <si>
    <r>
      <rPr>
        <rFont val="Arial, sans-serif"/>
        <color rgb="FF1155CC"/>
        <u/>
      </rPr>
      <t>https://www.google.com/maps/place/?q=place_id:ChIJd5fmQDHB5zsRxEfVDyJjtYI</t>
    </r>
  </si>
  <si>
    <t>Aqua Fitness Club</t>
  </si>
  <si>
    <t>Plot No 3, near Palm Beach Galleria Mall, Phase 2, Sector 19D, Vashi, Navi Mumbai, Maharashtra 400703</t>
  </si>
  <si>
    <t>85915 03535</t>
  </si>
  <si>
    <r>
      <rPr>
        <rFont val="Arial, sans-serif"/>
        <color rgb="FF1155CC"/>
        <u/>
      </rPr>
      <t>https://www.google.com/maps/place/?q=place_id:ChIJuRR9kRLB5zsRdgJoKfV6BTU</t>
    </r>
  </si>
  <si>
    <t>Arise Fitness Kharghar</t>
  </si>
  <si>
    <t>3rd Floor, Prime Mall Ln, Sector 12, Kharghar, Panvel, Maharashtra 410210</t>
  </si>
  <si>
    <t>CrossBox Fitness</t>
  </si>
  <si>
    <t>https://crossboxfitness.in/</t>
  </si>
  <si>
    <t>99676 41791</t>
  </si>
  <si>
    <t>https://www.instagram.com/crossboxfitness/</t>
  </si>
  <si>
    <t>Be More Fit Gym</t>
  </si>
  <si>
    <t>Plot P11, Sector 14 Nerul Rd, Sector 14, Nerul, Navi Mumbai, Maharashtra 400706</t>
  </si>
  <si>
    <t>https://www.facebook.com/crossboxfitness/</t>
  </si>
  <si>
    <t>95949 18007</t>
  </si>
  <si>
    <t>Plot 75, Vardhaman Market, 1st Floor, Sector 17, Vashi, Navi Mumbai, Maharashtra 400703</t>
  </si>
  <si>
    <r>
      <rPr>
        <rFont val="Arial, sans-serif"/>
        <color rgb="FF1155CC"/>
        <u/>
      </rPr>
      <t>https://www.google.com/maps/place/?q=place_id:ChIJE2g-4knB5zsR3N3xQNJQfKw</t>
    </r>
  </si>
  <si>
    <t>BEAST FITNESS</t>
  </si>
  <si>
    <t>Kalamboli</t>
  </si>
  <si>
    <t>Shop 02, 1st Floor, Anchit Towers, Roadpali, Kalamboli, Panvel, Maharashtra 410218</t>
  </si>
  <si>
    <t>81044 84873</t>
  </si>
  <si>
    <t>Intense Fitness Club (IFC Gym)</t>
  </si>
  <si>
    <t>https://www.instagram.com/intensefitnessclub/</t>
  </si>
  <si>
    <r>
      <rPr>
        <color rgb="FF1155CC"/>
        <u/>
      </rPr>
      <t>https://www.facebook.com/intensefitnessclub/</t>
    </r>
  </si>
  <si>
    <t>BHAGAT FITNESS GYM</t>
  </si>
  <si>
    <t>Takka Village, near Sai Baba Mandir, Old Panvel, Takka Colony, Panvel, Maharashtra 410206</t>
  </si>
  <si>
    <t>98206 57515</t>
  </si>
  <si>
    <t>1st Floor, Mahavir Center, Plot no. 77, Sector 17, Vashi, Navi Mumbai, Maharashtra 400703</t>
  </si>
  <si>
    <r>
      <rPr>
        <rFont val="Arial, sans-serif"/>
        <color rgb="FF1155CC"/>
        <u/>
      </rPr>
      <t>https://www.google.com/maps/place/?q=place_id:ChIJY2hQkjTB5zsRHAwrydyUfwQ</t>
    </r>
  </si>
  <si>
    <t>Bhagwat Gym</t>
  </si>
  <si>
    <t>New Panvel</t>
  </si>
  <si>
    <t>Mustangs Fitness Centre | Vashi</t>
  </si>
  <si>
    <t>Plot no.- A, 33, Sector 6, New Panvel East, Panvel, Maharashtra 410206</t>
  </si>
  <si>
    <t>sales@mustangs.in</t>
  </si>
  <si>
    <t>https://www.instagram.com/mustangsfitnesscentre/</t>
  </si>
  <si>
    <t>Not publicly listed</t>
  </si>
  <si>
    <t>https://www.facebook.com/mustangsfitnesscentre/</t>
  </si>
  <si>
    <t>1st Floor, near Gaondevi Maidan Road, Sector 11, Vashi, Navi Mumbai, Maharashtra 400703</t>
  </si>
  <si>
    <t>Body Power (cult.fit) - Kharghar</t>
  </si>
  <si>
    <r>
      <rPr>
        <rFont val="Arial, sans-serif"/>
        <color rgb="FF1155CC"/>
        <u/>
      </rPr>
      <t>https://www.google.com/maps/place/?q=place_id:ChIJDdLEj37B5zsRQtOZXyj14MU</t>
    </r>
  </si>
  <si>
    <t>Ashirwad Heights, Plot No. 7, Sector 18 Rd, Sector 18, Kharghar, Mumbai, Panvel, Maharashtra 410210</t>
  </si>
  <si>
    <t>88792 39044</t>
  </si>
  <si>
    <t>https://www.cult.fit/fitness/centers/body-power-kharghar</t>
  </si>
  <si>
    <t>Ragnor Fitness Vashi 24/7</t>
  </si>
  <si>
    <t>40, Palm Beach Rd, Phase 2, Sector 19E, Vashi, Navi Mumbai, Maharashtra 400703</t>
  </si>
  <si>
    <r>
      <rPr>
        <rFont val="Arial, sans-serif"/>
        <color rgb="FF1155CC"/>
        <u/>
      </rPr>
      <t>https://www.google.com/maps/place/?q=place_id:ChIJ63v9_Q7B5zsRNwKopMhDhEU</t>
    </r>
  </si>
  <si>
    <t>Seven Star Fitness Studio</t>
  </si>
  <si>
    <r>
      <rPr>
        <color rgb="FF1155CC"/>
        <u/>
      </rPr>
      <t>https://www.instagram.com/sevenstarfitnessstudio/</t>
    </r>
  </si>
  <si>
    <t>Body Power Gym (Kamothe Sector 36)</t>
  </si>
  <si>
    <t>Kamothe</t>
  </si>
  <si>
    <t>1st Floor, Ambe Shraddha Building, Plot No 4, Sector 36, Kamothe, Panvel, Maharashtra 410209</t>
  </si>
  <si>
    <t>https://www.facebook.com/sevenstarfitnessstudio/</t>
  </si>
  <si>
    <t>90829 78262</t>
  </si>
  <si>
    <t>1st Floor, Hawares Centurion Mall, Nerul East, Sector 19A, Nerul, Navi Mumbai, Maharashtra 400706</t>
  </si>
  <si>
    <r>
      <rPr>
        <rFont val="Arial, sans-serif"/>
        <color rgb="FF1155CC"/>
        <u/>
      </rPr>
      <t>https://www.google.com/maps/place/?q=place_id:ChIJ-wkhrL7D5zsRefWTOo92UsY</t>
    </r>
  </si>
  <si>
    <t>Body Power Gym (Sector 9 Kamothe)</t>
  </si>
  <si>
    <t>Oneabove Fitness Nerul</t>
  </si>
  <si>
    <t>ig@talwalkars.net</t>
  </si>
  <si>
    <t>1st Floor, Trimurti Enclave, Plot No. 6, Sector 9, Kamothe, Panvel, Maharashtra 410209</t>
  </si>
  <si>
    <r>
      <rPr>
        <color rgb="FF1155CC"/>
        <u/>
      </rPr>
      <t>https://oneabovefitness.com/</t>
    </r>
  </si>
  <si>
    <t>70458 13690</t>
  </si>
  <si>
    <t>https://www.instagram.com/oneabovefitness/</t>
  </si>
  <si>
    <t>https://www.facebook.com/oneabovefitness/</t>
  </si>
  <si>
    <t>BODY VISION FITNESS</t>
  </si>
  <si>
    <t>Airoli</t>
  </si>
  <si>
    <t>Shop no. 1, Radha Krishna Apartment, Sector 9, Airoli, Navi Mumbai, Maharashtra 400708</t>
  </si>
  <si>
    <t>Unit No. 7, Akshar, Plot no. C-1, Seawoods East, Nerul East, Sector 23, Nerul, Navi Mumbai, Maharashtra 400706</t>
  </si>
  <si>
    <t>73403 04141</t>
  </si>
  <si>
    <r>
      <rPr>
        <rFont val="Arial, sans-serif"/>
        <color rgb="FF1155CC"/>
        <u/>
      </rPr>
      <t>https://www.google.com/maps/place/?q=place_id:ChIJD7B7TJTD5zsRXvgCTXcxMCU</t>
    </r>
  </si>
  <si>
    <t>CLUB 90</t>
  </si>
  <si>
    <t>Seawoods</t>
  </si>
  <si>
    <t>1st Floor, Merchant Classic Building, Plot No.3, Sector 48-A, Seawoods, Navi Mumbai, Maharashtra 400706</t>
  </si>
  <si>
    <t>Tungsten Fitness Club (TFC) - Nerul</t>
  </si>
  <si>
    <r>
      <rPr>
        <color rgb="FF1155CC"/>
        <u/>
      </rPr>
      <t>https://tungstenfitness.in/</t>
    </r>
  </si>
  <si>
    <t>98193 61809</t>
  </si>
  <si>
    <t>1st Floor, Amrita Sadan, Nerul East, Sector 22, Nerul, Navi Mumbai, Maharashtra 400706</t>
  </si>
  <si>
    <t>Core fitness</t>
  </si>
  <si>
    <t>56, Gyan Vikas Road, Sector 17, Kopar Khairane, Navi Mumbai, Maharashtra 400709</t>
  </si>
  <si>
    <r>
      <rPr>
        <rFont val="Arial, sans-serif"/>
        <color rgb="FF1155CC"/>
        <u/>
      </rPr>
      <t>https://www.google.com/maps/place/?q=place_id:ChIJE7x_46LD5zsR8IWA6yWrsnU</t>
    </r>
  </si>
  <si>
    <t>Ragnor Fitness Nerul 24/7</t>
  </si>
  <si>
    <t>COREGYM</t>
  </si>
  <si>
    <t>1st Floor, Ravechi Heights, Sector 7, Plot 25, Kharghar, Panvel, Maharashtra 410210</t>
  </si>
  <si>
    <t>Plot No 5 &amp; 5A, Sector No 28, Nerul, Navi Mumbai, Maharashtra 400706</t>
  </si>
  <si>
    <t>84335 89999</t>
  </si>
  <si>
    <t>info@coregym.co.in</t>
  </si>
  <si>
    <t>Core Gym</t>
  </si>
  <si>
    <r>
      <rPr>
        <rFont val="Arial, sans-serif"/>
        <color rgb="FF1155CC"/>
        <u/>
      </rPr>
      <t>https://www.google.com/maps/place/?q=place_id:ChIJ0QJ4GpXD5zsRMOeBKWTMJug</t>
    </r>
  </si>
  <si>
    <t>Nerul Gymkhana</t>
  </si>
  <si>
    <t>info@nerulgymkhana.com</t>
  </si>
  <si>
    <t>https://www.nerulgymkhana.com/</t>
  </si>
  <si>
    <t>https://www.facebook.com/NerulGymkhana/</t>
  </si>
  <si>
    <t>89281 15003</t>
  </si>
  <si>
    <t>Cut And Curve Fitness Club</t>
  </si>
  <si>
    <r>
      <rPr>
        <rFont val="Arial, sans-serif"/>
        <color rgb="FF1155CC"/>
        <u/>
      </rPr>
      <t>https://www.google.com/maps/place/?q=place_id:ChIJ0-V5YlPD5zsRxkc8NJ8CbKg</t>
    </r>
  </si>
  <si>
    <t>1st floor, Sai Ashish Residency, Sector 18, Ulwe, Navi Mumbai, Maharashtra 410206</t>
  </si>
  <si>
    <t>75063 10493</t>
  </si>
  <si>
    <t>https://www.instagram.com/bemorefitgym/</t>
  </si>
  <si>
    <t>D2 Fitnesss</t>
  </si>
  <si>
    <t>Shop No 25-29, Patel Heights CHS, Sector 7, Ghansoli, Navi Mumbai, Maharashtra 400701</t>
  </si>
  <si>
    <t>https://www.facebook.com/bemorefitgym/</t>
  </si>
  <si>
    <t>85911 19656</t>
  </si>
  <si>
    <t>Shree Samarth Krupa, 464, near NMMC Hospital, Sec-20, Nerul, Navi Mumbai, Maharashtra 400706</t>
  </si>
  <si>
    <t>DK Fitness (Digha)</t>
  </si>
  <si>
    <t>Digha</t>
  </si>
  <si>
    <t>Digha Naka, Dighe, Navi Mumbai, Maharashtra 400708</t>
  </si>
  <si>
    <r>
      <rPr>
        <rFont val="Arial, sans-serif"/>
        <color rgb="FF1155CC"/>
        <u/>
      </rPr>
      <t>https://www.google.com/maps/place/?q=place_id:ChIJ94Tn6-nD5zsRaKRMT_gBNiY</t>
    </r>
  </si>
  <si>
    <t>86527 06211</t>
  </si>
  <si>
    <t>Vulkan Health Club</t>
  </si>
  <si>
    <r>
      <rPr>
        <color rgb="FF1155CC"/>
        <u/>
      </rPr>
      <t>https://www.instagram.com/vulkanhealthclub/</t>
    </r>
  </si>
  <si>
    <t>Evolve Fitness</t>
  </si>
  <si>
    <t>https://www.facebook.com/vulkanhealthclub/</t>
  </si>
  <si>
    <t>Shop no 9-11, Narmada Co-op Chs, Plot No. 36, Sector-19, Airoli, Navi Mumbai, Maharashtra 400708</t>
  </si>
  <si>
    <t>80835 35352</t>
  </si>
  <si>
    <r>
      <rPr>
        <rFont val="Arial, sans-serif"/>
        <color rgb="FF1155CC"/>
        <u/>
      </rPr>
      <t>https://www.google.com/maps/place/?q=place_id:ChIJ1xzHpjrD5zsRNP8iVooisnU</t>
    </r>
  </si>
  <si>
    <t>Falcon Fitness Arena</t>
  </si>
  <si>
    <t>Basement Shankar Sheela Apartment, Sector 9, Airoli, Navi Mumbai, Maharashtra 400708</t>
  </si>
  <si>
    <t>98924 85426</t>
  </si>
  <si>
    <t>https://www.instagram.com/akhadafitnesszone/</t>
  </si>
  <si>
    <t>https://www.facebook.com/akhadafitnesszone/</t>
  </si>
  <si>
    <t>Fit2Fit health fitness club</t>
  </si>
  <si>
    <t>1st floor, Vaishnavi Heights, Roadpali Rd, Sector 20, Kalamboli, Panvel, Maharashtra 410218</t>
  </si>
  <si>
    <t>Sector No 28, Nerul Gymkhana, Plot No 5A, Nerul East, Sector 28, Nerul, Navi Mumbai, Maharashtra 400706</t>
  </si>
  <si>
    <r>
      <rPr>
        <rFont val="Arial, sans-serif"/>
        <color rgb="FF1155CC"/>
        <u/>
      </rPr>
      <t>https://www.google.com/maps/place/?q=place_id:ChIJQ8i44BbD5zsRGOv9keZMD2c</t>
    </r>
  </si>
  <si>
    <t>90041 96965</t>
  </si>
  <si>
    <t>Passion Gym</t>
  </si>
  <si>
    <t>FitBeat Studio</t>
  </si>
  <si>
    <t>Vignahar Heights, Plot No. 5 &amp; 6 Sec 14, Palm Beach Rd, Nerul West, Nerul, Navi Mumbai, Maharashtra 400706</t>
  </si>
  <si>
    <t>Shop-9,10, Swami krupa Apartment, Sector 30, Rabale, Navi Mumbai, Maharashtra 400701</t>
  </si>
  <si>
    <t>77180 01722</t>
  </si>
  <si>
    <r>
      <rPr>
        <rFont val="Arial, sans-serif"/>
        <color rgb="FF1155CC"/>
        <u/>
      </rPr>
      <t>https://www.google.com/maps/place/?q=place_id:ChIJa-lDh6HB5zsRBsOFyckSv0Q</t>
    </r>
  </si>
  <si>
    <t>Tornado Fitness</t>
  </si>
  <si>
    <t>https://www.instagram.com/tornadofitness24x7/</t>
  </si>
  <si>
    <t>FITnation Arena Gym Kamothe</t>
  </si>
  <si>
    <t>Office No. 1, Shubh Nil Sivam HSG Soc, Plot No. 40, Sector 11, Kamothe, Panvel, Maharashtra 410209</t>
  </si>
  <si>
    <t>https://www.facebook.com/tornadofitness24x7/</t>
  </si>
  <si>
    <t>Bhanushali wadi, Nerul East, Sector 19A, Nerul, Navi Mumbai, Maharashtra 400706</t>
  </si>
  <si>
    <t>FITNESS CLUB STUDIO KAMOTHE</t>
  </si>
  <si>
    <r>
      <rPr>
        <rFont val="Arial, sans-serif"/>
        <color rgb="FF1155CC"/>
        <u/>
      </rPr>
      <t>https://www.google.com/maps/place/?q=place_id:ChIJBWAwQe7D5zsRYQLyaH3jazA</t>
    </r>
  </si>
  <si>
    <t>Sector 15, Kamothe, Panvel, Maharashtra 410209</t>
  </si>
  <si>
    <t>73048 65699</t>
  </si>
  <si>
    <t>fitnessclubstudio15@gmail.com</t>
  </si>
  <si>
    <t>Gym Services | Weight Loss, Body Transformation</t>
  </si>
  <si>
    <t>SHREDX FITNESS NERUL</t>
  </si>
  <si>
    <t>https://www.instagram.com/shredxfitness/</t>
  </si>
  <si>
    <t>https://www.facebook.com/shredxfitness/</t>
  </si>
  <si>
    <t>Fitness Club Studio, Kopar Khairne</t>
  </si>
  <si>
    <t>1st Floor, Bonkode Village Marg, Sector 11, Kopar Khairane, Navi Mumbai, Maharashtra 400709</t>
  </si>
  <si>
    <r>
      <rPr>
        <rFont val="Arial, sans-serif"/>
        <color rgb="FF1155CC"/>
        <u/>
      </rPr>
      <t>https://www.google.com/maps/place/?q=place_id:ChIJJ07Q_H3D5zsRgsu7ZIP0rec</t>
    </r>
  </si>
  <si>
    <t>73043 99220</t>
  </si>
  <si>
    <r>
      <rPr>
        <color rgb="FF1155CC"/>
        <u/>
      </rPr>
      <t>https://coregym.co.in/</t>
    </r>
  </si>
  <si>
    <t>Fitness Empire Unisex Gym</t>
  </si>
  <si>
    <t>https://www.instagram.com/coregymindia/</t>
  </si>
  <si>
    <t>1st Floor, Shop no 110, Shubham Complex, Sector 11, New Panvel East, Panvel, Maharashtra 410206</t>
  </si>
  <si>
    <t>89281 21483</t>
  </si>
  <si>
    <t>https://www.facebook.com/coregymindia/</t>
  </si>
  <si>
    <t>1st Floor, opp. Raghunath Vihar, Block G, Sector 13, Kharghar, Panvel, Maharashtra 410210</t>
  </si>
  <si>
    <t>FITNESS FIRST GYM</t>
  </si>
  <si>
    <r>
      <rPr>
        <rFont val="Arial, sans-serif"/>
        <color rgb="FF1155CC"/>
        <u/>
      </rPr>
      <t>https://www.google.com/maps/place/?q=place_id:ChIJzUFViOTD5zsRBqfbuu2f6TE</t>
    </r>
  </si>
  <si>
    <t>Shiv Shankar plaza, Sector 7, Airoli, Thane, Navi Mumbai, Maharashtra 400708</t>
  </si>
  <si>
    <t>89761 04020</t>
  </si>
  <si>
    <t>Traance.fit</t>
  </si>
  <si>
    <t>info@traance.fit</t>
  </si>
  <si>
    <r>
      <rPr>
        <color rgb="FF1155CC"/>
        <u/>
      </rPr>
      <t>https://traance.fit/</t>
    </r>
  </si>
  <si>
    <r>
      <rPr>
        <color rgb="FF1155CC"/>
        <u/>
      </rPr>
      <t>https://www.instagram.com/traance.fit/</t>
    </r>
  </si>
  <si>
    <t>Fitness Freak</t>
  </si>
  <si>
    <t>CBD Belapur</t>
  </si>
  <si>
    <t>Shop No: 6, Rajkamal Bayside, Plot No: 28, Sector 15, CBD Belapur, Navi Mumbai, Maharashtra 400614</t>
  </si>
  <si>
    <t>80977 34167</t>
  </si>
  <si>
    <t>https://www.facebook.com/traance.fit/</t>
  </si>
  <si>
    <t>Fitness Kingdom Golds</t>
  </si>
  <si>
    <r>
      <rPr>
        <rFont val="Arial, sans-serif"/>
        <color rgb="FF1155CC"/>
        <u/>
      </rPr>
      <t>https://www.google.com/maps/place/?q=place_id:ChIJ7aQUWnXD5zsRtfplTvXQeJo</t>
    </r>
  </si>
  <si>
    <t>Jigna arcade, near Bonkode Road, Sector 13, Kopar Khairane, Navi Mumbai, Maharashtra 400709</t>
  </si>
  <si>
    <t>91367 86296</t>
  </si>
  <si>
    <t>Fitness Square</t>
  </si>
  <si>
    <r>
      <rPr>
        <color rgb="FF1155CC"/>
        <u/>
      </rPr>
      <t>https://www.instagram.com/cultfitofficial/</t>
    </r>
  </si>
  <si>
    <t>Shop no 67, Ganesh Bhavana, Sector 4A, Kopar Khairane, Navi Mumbai, Maharashtra 400709</t>
  </si>
  <si>
    <t>86683 80880</t>
  </si>
  <si>
    <t>https://www.facebook.com/cultfitofficial/</t>
  </si>
  <si>
    <t>1st Floor, Tiara Shopping Complex, Block G, Sector 13, Kharghar, Panvel, Maharashtra 410210</t>
  </si>
  <si>
    <t>FITNESS WORLD GYM</t>
  </si>
  <si>
    <t>Taloja</t>
  </si>
  <si>
    <t>Midland enclave, Plot no 136/137, Taloja Phase 1, Taloja Panchanand, Taloja, Panvel, Maharashtra 410208</t>
  </si>
  <si>
    <r>
      <rPr>
        <rFont val="Arial, sans-serif"/>
        <color rgb="FF1155CC"/>
        <u/>
      </rPr>
      <t>https://www.google.com/maps/place/?q=place_id:ChIJwazG-erD5zsR5CUOaenen0o</t>
    </r>
  </si>
  <si>
    <t>79726 27087</t>
  </si>
  <si>
    <t>Ragnor Fitness Kharghar</t>
  </si>
  <si>
    <t>1st Floor, Garden Court, Sector 35E, Kharghar, Panvel, Maharashtra 410210</t>
  </si>
  <si>
    <t>FITNESSIUM</t>
  </si>
  <si>
    <t>Shop 1-6, Henita Arcade, Plot No 16, Sector 8E, Roadpali, Kalamboli, Panvel, Maharashtra 410218</t>
  </si>
  <si>
    <r>
      <rPr>
        <rFont val="Arial, sans-serif"/>
        <color rgb="FF1155CC"/>
        <u/>
      </rPr>
      <t>https://www.google.com/maps/place/?q=place_id:ChIJFyaSqPjB5zsRKqYnQztKruY</t>
    </r>
  </si>
  <si>
    <t>72089 95744</t>
  </si>
  <si>
    <t>FOR LIFE FITNESS</t>
  </si>
  <si>
    <t>https://www.instagram.com/forlifefitness24x7/</t>
  </si>
  <si>
    <t>FlexFire Premium Gym</t>
  </si>
  <si>
    <t>Shop No.1,2&amp;4, Sonai Skyline, Plot No.11, Sector 15, Ghansoli, Navi Mumbai, Maharashtra 400701</t>
  </si>
  <si>
    <t>https://www.facebook.com/forlifefitness24x7/</t>
  </si>
  <si>
    <t>96199 95922</t>
  </si>
  <si>
    <t>flexfireghansoli@gmail.com</t>
  </si>
  <si>
    <t>Flexfire Ghansoli</t>
  </si>
  <si>
    <t>Aashirwad rowhouse, Plot F34, Block G, Sector 12, Kharghar, Panvel, Maharashtra 410210</t>
  </si>
  <si>
    <r>
      <rPr>
        <rFont val="Arial, sans-serif"/>
        <color rgb="FF1155CC"/>
        <u/>
      </rPr>
      <t>https://www.google.com/maps/place/?q=place_id:ChIJZXSKDdTD5zsRLX7AuGvEcbo</t>
    </r>
  </si>
  <si>
    <t>Zara's Fitness</t>
  </si>
  <si>
    <t>https://www.instagram.com/zarasfitness/</t>
  </si>
  <si>
    <t>FLOW FIT</t>
  </si>
  <si>
    <t>Shop no.19, Satyam Imperial Heights, Sec-11, Ghansoli, Navi Mumbai, Maharashtra 400701</t>
  </si>
  <si>
    <t>72081 69894</t>
  </si>
  <si>
    <t>https://www.facebook.com/zarasfitness/</t>
  </si>
  <si>
    <t>9th floor, The Pacific, Block G, Sector 13, Kharghar, Panvel, Maharashtra 410210</t>
  </si>
  <si>
    <r>
      <rPr>
        <rFont val="Arial, sans-serif"/>
        <color rgb="FF1155CC"/>
        <u/>
      </rPr>
      <t>https://www.google.com/maps/place/?q=place_id:ChIJZSnPE_jD5zsRsALyNTxE2Io</t>
    </r>
  </si>
  <si>
    <t>FOCUS THE FITNESS</t>
  </si>
  <si>
    <t>Plot no-92, Sector 8A, CBD Belapur, Navi Mumbai, Maharashtra 400614</t>
  </si>
  <si>
    <t>Shark Fitness</t>
  </si>
  <si>
    <t>https://www.instagram.com/sharkfitnesskharghar/</t>
  </si>
  <si>
    <t>93723 00166</t>
  </si>
  <si>
    <t>https://www.facebook.com/sharkfitnesskharghar/</t>
  </si>
  <si>
    <t>Shop no 7, Mita heights, Plot No. 51/B, Sector 20, Kharghar, Panvel, Maharashtra 410210</t>
  </si>
  <si>
    <r>
      <rPr>
        <rFont val="Arial, sans-serif"/>
        <color rgb="FF1155CC"/>
        <u/>
      </rPr>
      <t>https://www.google.com/maps/place/?q=place_id:ChIJTfLYGgnD5zsR18cYIlK3lb4</t>
    </r>
  </si>
  <si>
    <t>86938 39862</t>
  </si>
  <si>
    <t>Revamp Fitness</t>
  </si>
  <si>
    <t>https://www.instagram.com/revampfitnesskharghar/</t>
  </si>
  <si>
    <t>https://www.facebook.com/revampfitnesskharghar/</t>
  </si>
  <si>
    <t>FOR LIFE FITNESS KALAMBOLI</t>
  </si>
  <si>
    <t>Manisha Paradise, Sector 17, Roadpali, Kalamboli, Panvel, Maharashtra 410218</t>
  </si>
  <si>
    <t>93726 90958</t>
  </si>
  <si>
    <r>
      <rPr>
        <rFont val="Arial, sans-serif"/>
        <color rgb="FF1155CC"/>
        <u/>
      </rPr>
      <t>https://www.google.com/maps/place/?q=place_id:ChIJq6qqajzC5zsRd-Ghq6IcgCw</t>
    </r>
  </si>
  <si>
    <r>
      <rPr>
        <color rgb="FF1155CC"/>
        <u/>
      </rPr>
      <t>https://www.instagram.com/aestheticfitnesskharghar/</t>
    </r>
  </si>
  <si>
    <t>Force fitness Gym</t>
  </si>
  <si>
    <t>D G Tatkare Jr College, Sector 5E, Kalamboli, Panvel, Maharashtra 410218</t>
  </si>
  <si>
    <r>
      <rPr>
        <rFont val="Arial, sans-serif"/>
        <color rgb="FF1155CC"/>
        <u/>
      </rPr>
      <t>https://www.google.com/maps/place/?q=place_id:ChIJ3WMtYcTD5zsRUXFmuL8o3UY</t>
    </r>
  </si>
  <si>
    <t>https://www.instagram.com/arisefitnesskharghar/</t>
  </si>
  <si>
    <t>G GYM</t>
  </si>
  <si>
    <t>1st floor, Madhuraj Bhimashankar building, Taloja Phase 1, sector 9, Taloja, Panvel, Maharashtra 410208</t>
  </si>
  <si>
    <t>https://www.facebook.com/arisefitnesskharghar/</t>
  </si>
  <si>
    <t>Level 3, Mayuresh square, Plot no. 17, Sector 15, CBD Belapur, Navi Mumbai, Maharashtra 400614</t>
  </si>
  <si>
    <r>
      <rPr>
        <rFont val="Arial, sans-serif"/>
        <color rgb="FF1155CC"/>
        <u/>
      </rPr>
      <t>https://www.google.com/maps/place/?q=place_id:ChIJpdRze-TD5zsR5y6jX_uS3-U</t>
    </r>
  </si>
  <si>
    <t>GPF - Go Pro Fitness (Sector 17)</t>
  </si>
  <si>
    <t>1st floor, Majestic Icon, Plot no-26, Sector 17, Ulwe, Navi Mumbai, Maharashtra 410206</t>
  </si>
  <si>
    <t>Plus Fitness Belapur</t>
  </si>
  <si>
    <t>belapur@plusfitness.co.in</t>
  </si>
  <si>
    <t>98195 04747</t>
  </si>
  <si>
    <r>
      <rPr>
        <color rgb="FF1155CC"/>
        <u/>
      </rPr>
      <t>https://www.plusfitness.co.in/gyms/belapur/</t>
    </r>
  </si>
  <si>
    <r>
      <rPr>
        <color rgb="FF1155CC"/>
        <u/>
      </rPr>
      <t>https://www.instagram.com/plusfitnessindia/</t>
    </r>
  </si>
  <si>
    <t>GPF - Go Pro Fitness Gym (Sector 3)</t>
  </si>
  <si>
    <t>Shop No.1, Plot No.82, Morave Gaothan, Sector 3, Ulwe, Navi Mumbai, Maharashtra 410206</t>
  </si>
  <si>
    <t>https://www.facebook.com/PlusFitnessIndia/</t>
  </si>
  <si>
    <t>86930 02525</t>
  </si>
  <si>
    <t>2nd Floor, NMS Titanium, Sector 15, CBD Belapur, Navi Mumbai, Maharashtra 400614</t>
  </si>
  <si>
    <r>
      <rPr>
        <rFont val="Arial, sans-serif"/>
        <color rgb="FF1155CC"/>
        <u/>
      </rPr>
      <t>https://www.google.com/maps/place/?q=place_id:ChIJZ96XEarD5zsR3KguAzsdDG8</t>
    </r>
  </si>
  <si>
    <t>Gupta Body Fitness Academy</t>
  </si>
  <si>
    <t>Digha Gaon, Dighe, Navi Mumbai, Maharashtra 400708</t>
  </si>
  <si>
    <t>Gym Arenaa Fitness And Wellness Club</t>
  </si>
  <si>
    <t>gymarenaa163@gmail.com</t>
  </si>
  <si>
    <r>
      <rPr>
        <color rgb="FF1155CC"/>
        <u/>
      </rPr>
      <t>https://gymarenaa.in/</t>
    </r>
  </si>
  <si>
    <t>98207 67403</t>
  </si>
  <si>
    <t>Shop no 28-31, F type, Sector - 03 Market, CBD Belapur, Navi Mumbai, Maharashtra 400614</t>
  </si>
  <si>
    <r>
      <rPr>
        <rFont val="Arial, sans-serif"/>
        <color rgb="FF1155CC"/>
        <u/>
      </rPr>
      <t>https://www.google.com/maps/place/?q=place_id:ChIJC-6IZbjD5zsR8DB6niiDU0Q</t>
    </r>
  </si>
  <si>
    <t>MP's Fitness World (Sector 3)</t>
  </si>
  <si>
    <r>
      <rPr>
        <color rgb="FF1155CC"/>
        <u/>
      </rPr>
      <t>https://www.instagram.com/mps_fitness_world/</t>
    </r>
  </si>
  <si>
    <t>https://www.facebook.com/mpsfitnessworld</t>
  </si>
  <si>
    <t>90225 54999</t>
  </si>
  <si>
    <t>Gym Arena</t>
  </si>
  <si>
    <t>Shop-1/2, Arenja Towers, Sector 11, CBD Belapur, Navi Mumbai, Maharashtra 400614</t>
  </si>
  <si>
    <r>
      <rPr>
        <rFont val="Arial, sans-serif"/>
        <color rgb="FF1155CC"/>
        <u/>
      </rPr>
      <t>https://www.google.com/maps/place/?q=place_id:ChIJAQAA8E3C5zsR_3BDYp3wJTM</t>
    </r>
  </si>
  <si>
    <t>Image Fitness Club</t>
  </si>
  <si>
    <t>403, Plot No.7, Chamber 2, Arenja Plaza, Sector 15, CBD Belapur, Navi Mumbai, Maharashtra 400614</t>
  </si>
  <si>
    <t>HARDCORE GYM</t>
  </si>
  <si>
    <r>
      <rPr>
        <rFont val="Arial, sans-serif"/>
        <color rgb="FF1155CC"/>
        <u/>
      </rPr>
      <t>https://www.google.com/maps/place/?q=place_id:ChIJWxqoy9TD5zsRii1UDYEy1Xo</t>
    </r>
  </si>
  <si>
    <t>Airoli/Rabale</t>
  </si>
  <si>
    <t>Gautam Nagar, MIDC Industrial Area, Rabale, Navi Mumbai, Maharashtra 400708</t>
  </si>
  <si>
    <t>76665 17777</t>
  </si>
  <si>
    <t>ramdalwai7@gmail.com</t>
  </si>
  <si>
    <t>hardcore</t>
  </si>
  <si>
    <t>Perfect Health &amp; Fitness</t>
  </si>
  <si>
    <r>
      <rPr>
        <rFont val="Arial, sans-serif"/>
        <color rgb="FF1155CC"/>
        <u/>
      </rPr>
      <t>https://www.google.com/maps/place/?q=place_id:ChIJ58yNSFjD5zsRcGRVeloljXA</t>
    </r>
  </si>
  <si>
    <t>C-4, Kali Mata Mandir Rd, Sector 8B, CBD Belapur, Navi Mumbai, Maharashtra 400614</t>
  </si>
  <si>
    <r>
      <rPr>
        <rFont val="Arial, sans-serif"/>
        <color rgb="FF1155CC"/>
        <u/>
      </rPr>
      <t>https://www.google.com/maps/place/?q=place_id:ChIJpUpPAt_D5zsRU0z82JwQs1s</t>
    </r>
  </si>
  <si>
    <t>Hi Fitness Studio</t>
  </si>
  <si>
    <t>Plot no 148, 3rd floor, Old Panvel, Panvel, Maharashtra 410206</t>
  </si>
  <si>
    <t>95943 95577</t>
  </si>
  <si>
    <t>MP's FITNESS WORLD (Sector 8B)</t>
  </si>
  <si>
    <r>
      <rPr>
        <color rgb="FF1155CC"/>
        <u/>
      </rPr>
      <t>https://www.instagram.com/mps_fitness_world/</t>
    </r>
  </si>
  <si>
    <r>
      <rPr>
        <rFont val="Arial, sans-serif"/>
        <color rgb="FF1155CC"/>
        <u/>
      </rPr>
      <t>https://www.google.com/maps/place/?q=place_id:ChIJ71OfJ_7D5zsRi_5zskjiDoE</t>
    </r>
  </si>
  <si>
    <t>IB GYM FITNESS</t>
  </si>
  <si>
    <t>Orchid building, Plot no 56, Sector 15, Kopar Khairane, Navi Mumbai, Maharashtra 400709</t>
  </si>
  <si>
    <t>44, Shop no.12, Progressive Sea Lounge, Sector 15, CBD Belapur, Navi Mumbai, Maharashtra 400614</t>
  </si>
  <si>
    <r>
      <rPr>
        <rFont val="Arial, sans-serif"/>
        <color rgb="FF1155CC"/>
        <u/>
      </rPr>
      <t>https://www.google.com/maps/place/?q=place_id:ChIJ4T5tIkrD5zsRg-b0KMf1J1U</t>
    </r>
  </si>
  <si>
    <t>Panada Fitness Centre</t>
  </si>
  <si>
    <t>Seawoods/Nerul</t>
  </si>
  <si>
    <t>19 East, Shop 54-56, Nerul East, Sector 19, Seawoods, Navi Mumbai, Maharashtra 400706</t>
  </si>
  <si>
    <t>Ikon Fitness</t>
  </si>
  <si>
    <r>
      <rPr>
        <rFont val="Arial, sans-serif"/>
        <color rgb="FF1155CC"/>
        <u/>
      </rPr>
      <t>https://www.google.com/maps/place/?q=place_id:ChIJPW9nMWHD5zsRliiVijj5Bnk</t>
    </r>
  </si>
  <si>
    <t>2nd &amp; 3rd Floor, Ruby Commercial Complex, Sector 4, Airoli, Navi Mumbai, Maharashtra 400708</t>
  </si>
  <si>
    <t>93217 50750</t>
  </si>
  <si>
    <t>Ironclad Fitness</t>
  </si>
  <si>
    <r>
      <rPr>
        <rFont val="Arial, sans-serif"/>
        <color rgb="FF1155CC"/>
        <u/>
      </rPr>
      <t>https://www.google.com/maps/place/?q=place_id:ChIJ-UX9pn-55zsRLeJ4ehzLLHk</t>
    </r>
  </si>
  <si>
    <t>Image Fitness</t>
  </si>
  <si>
    <t>Shop No 7, Parth Magnus, Plot No. 22, Sector 4, Sanpada, Navi Mumbai, Maharashtra 400705</t>
  </si>
  <si>
    <r>
      <rPr>
        <rFont val="Arial, sans-serif"/>
        <color rgb="FF1155CC"/>
        <u/>
      </rPr>
      <t>https://www.google.com/maps/place/?q=place_id:ChIJuVUIf1G_5zsRZwN-mq-b_rM</t>
    </r>
  </si>
  <si>
    <t>83697 40525</t>
  </si>
  <si>
    <t>2nd Floor, Ripplez Mall, Plot no.6/A, Sector 7, Airoli, Navi Mumbai, Maharashtra 400708</t>
  </si>
  <si>
    <r>
      <rPr>
        <rFont val="Arial, sans-serif"/>
        <color rgb="FF1155CC"/>
        <u/>
      </rPr>
      <t>https://www.google.com/maps/place/?q=place_id:ChIJM8PthVS_5zsRQKrrpu-LUzQ</t>
    </r>
  </si>
  <si>
    <t>Talwalkars Airoli</t>
  </si>
  <si>
    <t>https://www.instagram.com/talwalkarsfitnessofficial/</t>
  </si>
  <si>
    <t>https://www.facebook.com/TalwalkarsFitnessOfficial/</t>
  </si>
  <si>
    <t>98214 49296</t>
  </si>
  <si>
    <t>Shop No 12/13, Sector-19, Airoli, Navi Mumbai, Maharashtra 400708</t>
  </si>
  <si>
    <r>
      <rPr>
        <rFont val="Arial, sans-serif"/>
        <color rgb="FF1155CC"/>
        <u/>
      </rPr>
      <t>https://www.google.com/maps/place/?q=place_id:ChIJGRzkibS45zsRAs2-ZH0Bpxs</t>
    </r>
  </si>
  <si>
    <t>Infinity fitness kamothe</t>
  </si>
  <si>
    <t>Silver star building, near Gokul dairy, Sector 18, Kamothe, Panvel, Maharashtra 410209</t>
  </si>
  <si>
    <t>Revolution Pro Fitness, Airoli</t>
  </si>
  <si>
    <r>
      <rPr>
        <color rgb="FF1155CC"/>
        <u/>
      </rPr>
      <t>https://www.instagram.com/revolutionprofitness/</t>
    </r>
  </si>
  <si>
    <t>77000 07862</t>
  </si>
  <si>
    <t>https://www.facebook.com/revolutionprofitness/</t>
  </si>
  <si>
    <r>
      <rPr>
        <rFont val="Arial, sans-serif"/>
        <color rgb="FF1155CC"/>
        <u/>
      </rPr>
      <t>https://www.google.com/maps/place/?q=place_id:ChIJtZE8iRe_5zsRbWuaUSols80</t>
    </r>
  </si>
  <si>
    <t>98336 66622</t>
  </si>
  <si>
    <r>
      <rPr>
        <color rgb="FF1155CC"/>
        <u/>
      </rPr>
      <t>https://www.instagram.com/falconfitnessarena/</t>
    </r>
  </si>
  <si>
    <t>https://www.facebook.com/falconfitnessarena/</t>
  </si>
  <si>
    <t>Iron Fitness Unisex A/C Gym</t>
  </si>
  <si>
    <t>Room 272-274, Sector 1, Kopar Khairane, Navi Mumbai, Maharashtra 400709</t>
  </si>
  <si>
    <t>Sector 3 Airoli Rd, Sector 3, Airoli, Navi Mumbai, Maharashtra 400708</t>
  </si>
  <si>
    <t>88884 03579</t>
  </si>
  <si>
    <r>
      <rPr>
        <rFont val="Arial, sans-serif"/>
        <color rgb="FF1155CC"/>
        <u/>
      </rPr>
      <t>https://www.google.com/maps/place/?q=place_id:ChIJ57qmnbS45zsRGaORxYL-Su0</t>
    </r>
  </si>
  <si>
    <t>Revival Gym</t>
  </si>
  <si>
    <t>https://www.instagram.com/revivalgymairoli/</t>
  </si>
  <si>
    <t>IRON LIFTERS GYM</t>
  </si>
  <si>
    <t>Turbhe</t>
  </si>
  <si>
    <t>Hanuman Nagar, Pfizer Rd, MIDC Industrial Area, Turbhe, Navi Mumbai, Maharashtra 400703</t>
  </si>
  <si>
    <t>https://www.facebook.com/revivalgymairoli/</t>
  </si>
  <si>
    <t>99672 92961</t>
  </si>
  <si>
    <t>Swaraj Daffodils, Sector 8A, Airoli, Navi Mumbai, Maharashtra 400708</t>
  </si>
  <si>
    <r>
      <rPr>
        <rFont val="Arial, sans-serif"/>
        <color rgb="FF1155CC"/>
        <u/>
      </rPr>
      <t>https://www.google.com/maps/place/?q=place_id:ChIJKc-BrIe_5zsRca-pGRMRDzU</t>
    </r>
  </si>
  <si>
    <t>J&amp;K Fitness Unisex Gym, Airoli</t>
  </si>
  <si>
    <t>https://www.instagram.com/jkfitnessairoli/</t>
  </si>
  <si>
    <t>97692 10962</t>
  </si>
  <si>
    <t>1st Floor, Bhumiraj Meadows CHS, Sector-19, Airoli, Navi Mumbai, Maharashtra 400708</t>
  </si>
  <si>
    <r>
      <rPr>
        <rFont val="Arial, sans-serif"/>
        <color rgb="FF1155CC"/>
        <u/>
      </rPr>
      <t>https://www.google.com/maps/place/?q=place_id:ChIJf3Zdr-q55zsRLfSx8DNkWJU</t>
    </r>
  </si>
  <si>
    <t>IROXX GYM (Kamothe)</t>
  </si>
  <si>
    <t>Pump and Pulse Fitness</t>
  </si>
  <si>
    <t>1st floor, Landmark building, Sector 12, Kamothe, Panvel, Maharashtra 410209</t>
  </si>
  <si>
    <r>
      <rPr>
        <color rgb="FF1155CC"/>
        <u/>
      </rPr>
      <t>https://www.instagram.com/pumpandpulsefitness/</t>
    </r>
  </si>
  <si>
    <t>https://www.facebook.com/pumpandpulsefitness/</t>
  </si>
  <si>
    <t>72089 56510</t>
  </si>
  <si>
    <r>
      <rPr>
        <rFont val="Arial, sans-serif"/>
        <color rgb="FF1155CC"/>
        <u/>
      </rPr>
      <t>https://www.google.com/maps/place/?q=place_id:ChIJTz1Ql9m55zsRItQ786Pcb5E</t>
    </r>
  </si>
  <si>
    <t>https://www.instagram.com/bodyvisionfitnessairoli/</t>
  </si>
  <si>
    <t>IROXX GYM (Taloja)</t>
  </si>
  <si>
    <t>Sector 24, Mangala residency, Taloja Phase 2, Taloja, Panvel, Maharashtra 410208</t>
  </si>
  <si>
    <t>https://www.facebook.com/bodyvisionfitnessairoli/</t>
  </si>
  <si>
    <t>Namdev Krishna Rd, Sector 1, Airoli, Navi Mumbai, Maharashtra 400708</t>
  </si>
  <si>
    <r>
      <rPr>
        <rFont val="Arial, sans-serif"/>
        <color rgb="FF1155CC"/>
        <u/>
      </rPr>
      <t>https://www.google.com/maps/place/?q=place_id:ChIJV8IjPUq_5zsRzMb1lKsPQKw</t>
    </r>
  </si>
  <si>
    <t>Rajesh Health Club &amp; Swimming Pool Airoli</t>
  </si>
  <si>
    <t>https://www.instagram.com/rajeshhealthclub/</t>
  </si>
  <si>
    <t>90047 46939</t>
  </si>
  <si>
    <r>
      <rPr>
        <color rgb="FF1155CC"/>
        <u/>
      </rPr>
      <t>https://www.facebook.com/rajeshhealthclub/</t>
    </r>
  </si>
  <si>
    <t>Kaivon Fitness Ghansoli</t>
  </si>
  <si>
    <r>
      <rPr>
        <rFont val="Arial, sans-serif"/>
        <color rgb="FF1155CC"/>
        <u/>
      </rPr>
      <t>https://www.google.com/maps/place/?q=place_id:ChIJRdp3Y1e_5zsRWZEaUquJDLk</t>
    </r>
  </si>
  <si>
    <t>Shop No 1&amp;2, NG Grand Plaza, Jijamata Nagar, Ghansoli, Navi Mumbai, Maharashtra 400701</t>
  </si>
  <si>
    <t>79776 19543</t>
  </si>
  <si>
    <r>
      <rPr>
        <color rgb="FF1155CC"/>
        <u/>
      </rPr>
      <t>https://hardcoregym.in/</t>
    </r>
  </si>
  <si>
    <t>https://www.instagram.com/hardcoregym_rabale/</t>
  </si>
  <si>
    <t>Kenzo Fitness Ghansoli</t>
  </si>
  <si>
    <t>Pratik Heights, Plot no. 16, Sector 15, Ghansoli, Navi Mumbai, Maharashtra 400701</t>
  </si>
  <si>
    <t>https://www.facebook.com/hardcoregymrabale/</t>
  </si>
  <si>
    <t>86554 18911</t>
  </si>
  <si>
    <t>Airoli Station Main Rd, Sector 5, Airoli, Navi Mumbai, Maharashtra 400708</t>
  </si>
  <si>
    <r>
      <rPr>
        <rFont val="Arial, sans-serif"/>
        <color rgb="FF1155CC"/>
        <u/>
      </rPr>
      <t>https://www.google.com/maps/place/?q=place_id:ChIJxd4qikm_5zsRD5ctkHeL3y0</t>
    </r>
  </si>
  <si>
    <t>RED ROXX FITNESS</t>
  </si>
  <si>
    <r>
      <rPr>
        <rFont val="Arial, sans-serif"/>
        <color rgb="FF1155CC"/>
        <u/>
      </rPr>
      <t>https://www.google.com/maps/place/?q=place_id:ChIJUwOu4OK_5zsR1nnszaTg4TQ</t>
    </r>
  </si>
  <si>
    <t>Kenzo Fitness Ulwe</t>
  </si>
  <si>
    <t>Shop no-10, Sunny Orchid Bliss, Sector 5, Ulwe, Navi Mumbai, Maharashtra 410206</t>
  </si>
  <si>
    <t>91377 91011</t>
  </si>
  <si>
    <t>Plot No 73, Sector 18, Kopar Khairane, Navi Mumbai, Maharashtra 400709</t>
  </si>
  <si>
    <r>
      <rPr>
        <rFont val="Arial, sans-serif"/>
        <color rgb="FF1155CC"/>
        <u/>
      </rPr>
      <t>https://www.google.com/maps/place/?q=place_id:ChIJowgUJwDB5zsRXu00-iF67-Y</t>
    </r>
  </si>
  <si>
    <t>Yes Fit Gym</t>
  </si>
  <si>
    <r>
      <rPr>
        <rFont val="Arial, sans-serif"/>
        <color rgb="FF1155CC"/>
        <u/>
      </rPr>
      <t>https://www.google.com/maps/place/?q=place_id:ChIJxdfOmLjB5zsR6auRL6HA5L4</t>
    </r>
  </si>
  <si>
    <t>89767 22977</t>
  </si>
  <si>
    <r>
      <rPr>
        <rFont val="Arial, sans-serif"/>
        <color rgb="FF1155CC"/>
        <u/>
      </rPr>
      <t>https://www.google.com/maps/place/?q=place_id:ChIJX3bWrnPB5zsRG-XRg5j3JGU</t>
    </r>
  </si>
  <si>
    <t>Krushnai Fitness Club</t>
  </si>
  <si>
    <t>Mahape</t>
  </si>
  <si>
    <t>MIDC Industrial Area, Sector 1, Mahape, Navi Mumbai, Maharashtra 400710</t>
  </si>
  <si>
    <t>93214 28422</t>
  </si>
  <si>
    <r>
      <rPr>
        <rFont val="Arial, sans-serif"/>
        <color rgb="FF1155CC"/>
        <u/>
      </rPr>
      <t>https://www.google.com/maps/place/?q=place_id:ChIJ4doTmtfA5zsRG5Igra8Bk10</t>
    </r>
  </si>
  <si>
    <t>Leo Fitness Ulwe</t>
  </si>
  <si>
    <t>Shop No 1-3, Neelkanth Residency, Plot no 109, Sector 18, Ulwe, Navi Mumbai, Maharashtra 410206</t>
  </si>
  <si>
    <t>98927 48576</t>
  </si>
  <si>
    <r>
      <rPr>
        <rFont val="Arial, sans-serif"/>
        <color rgb="FF1155CC"/>
        <u/>
      </rPr>
      <t>https://www.google.com/maps/place/?q=place_id:ChIJR1x-cBTB5zsRohUhp5FGBp4</t>
    </r>
  </si>
  <si>
    <t>LIGHTHOUSE FITNESS</t>
  </si>
  <si>
    <r>
      <rPr>
        <rFont val="Arial, sans-serif"/>
        <color rgb="FF1155CC"/>
        <u/>
      </rPr>
      <t>https://www.google.com/maps/place/?q=place_id:ChIJGXdQ4IvB5zsRe8oDfKF0Syg</t>
    </r>
  </si>
  <si>
    <t>Plot no.- 88, 797/1, Sai Nagar Rd, Old Panvel, Panvel, Maharashtra 410206</t>
  </si>
  <si>
    <t>84240 09988</t>
  </si>
  <si>
    <t>Shop No. 01-03, Muktai CHS, Plot No.06A, Sector 06, Kopar Khairane, Navi Mumbai, Maharashtra 400709</t>
  </si>
  <si>
    <r>
      <rPr>
        <rFont val="Arial, sans-serif"/>
        <color rgb="FF1155CC"/>
        <u/>
      </rPr>
      <t>https://www.google.com/maps/place/?q=place_id:ChIJATiu_GnB5zsRe5cuQL4smlw</t>
    </r>
  </si>
  <si>
    <t>M90 Fitness House</t>
  </si>
  <si>
    <t>More's Muscle Factory</t>
  </si>
  <si>
    <t>Koyana Velhe, Ghotkamp Koyana Vele, Taloja, Panvel, Maharashtra 410208</t>
  </si>
  <si>
    <r>
      <rPr>
        <rFont val="Arial, sans-serif"/>
        <color rgb="FF1155CC"/>
        <u/>
      </rPr>
      <t>https://www.google.com/maps/place/?q=place_id:ChIJN18Mv_rB5zsRmiF8cpGVDzg</t>
    </r>
  </si>
  <si>
    <t>90044 58552</t>
  </si>
  <si>
    <t>Core Fitness</t>
  </si>
  <si>
    <t>Sector 12B, Sector 13, Kopar Khairane, Navi Mumbai, Maharashtra 400709</t>
  </si>
  <si>
    <r>
      <rPr>
        <rFont val="Arial, sans-serif"/>
        <color rgb="FF1155CC"/>
        <u/>
      </rPr>
      <t>https://www.google.com/maps/place/?q=place_id:ChIJ9eu3njPB5zsRJWeEAB6WyVM</t>
    </r>
  </si>
  <si>
    <t>Malhar Fitness Studio</t>
  </si>
  <si>
    <t>Shop no-9, 1st floor, near Avida Pallavi hotel, Sector 16E, Roadpali, Kalamboli, Panvel, Maharashtra 410218</t>
  </si>
  <si>
    <t>88792 07777</t>
  </si>
  <si>
    <t>Pro Fitness Center</t>
  </si>
  <si>
    <r>
      <rPr>
        <rFont val="Arial, sans-serif"/>
        <color rgb="FF1155CC"/>
        <u/>
      </rPr>
      <t>https://www.google.com/maps/place/?q=place_id:ChIJRRaJztrA5zsRy5L2jnQnAQw</t>
    </r>
  </si>
  <si>
    <t>Maruti Fitness Gym</t>
  </si>
  <si>
    <t>1st Floor, Shreya Apartment, Sector 9, Ghansoli, Navi Mumbai, Maharashtra 400701</t>
  </si>
  <si>
    <t>1st floor, Plot no. 76, 77, Sector 5, Kopar Khairane, Navi Mumbai, Maharashtra 400709</t>
  </si>
  <si>
    <t>93594 27060</t>
  </si>
  <si>
    <r>
      <rPr>
        <rFont val="Arial, sans-serif"/>
        <color rgb="FF1155CC"/>
        <u/>
      </rPr>
      <t>https://www.google.com/maps/place/?q=place_id:ChIJvVBR1d_B5zsReewVWFxosn0</t>
    </r>
  </si>
  <si>
    <t>ROCK HARD FITNESS GYM</t>
  </si>
  <si>
    <r>
      <rPr>
        <rFont val="Arial, sans-serif"/>
        <color rgb="FF1155CC"/>
        <u/>
      </rPr>
      <t>https://www.google.com/maps/place/?q=place_id:ChIJm6BumirH5zsRcP8Eqymoe6U</t>
    </r>
  </si>
  <si>
    <t>MASS Fitness</t>
  </si>
  <si>
    <t>Plot No.22, Sector No.1, New Panvel East, Panvel, Maharashtra 410206</t>
  </si>
  <si>
    <t>97020 00458</t>
  </si>
  <si>
    <r>
      <rPr>
        <color rgb="FF1155CC"/>
        <u/>
      </rPr>
      <t>https://www.flexfiregym.in/</t>
    </r>
  </si>
  <si>
    <r>
      <rPr>
        <color rgb="FF1155CC"/>
        <u/>
      </rPr>
      <t>https://www.instagram.com/flexfiregym/</t>
    </r>
  </si>
  <si>
    <t>https://www.facebook.com/flexfiregym/</t>
  </si>
  <si>
    <t>Metabolic Fitness Sanpada</t>
  </si>
  <si>
    <t>1st Floor, Balaji Heights, Plot No 4, Sector 11, Sanpada, Navi Mumbai, Maharashtra 400705</t>
  </si>
  <si>
    <t>97690 17199</t>
  </si>
  <si>
    <r>
      <rPr>
        <rFont val="Arial, sans-serif"/>
        <color rgb="FF1155CC"/>
        <u/>
      </rPr>
      <t>https://www.google.com/maps/place/?q=place_id:ChIJX1bePaPH5zsR9QPs1j9OXWA</t>
    </r>
  </si>
  <si>
    <r>
      <rPr>
        <color rgb="FF1155CC"/>
        <u/>
      </rPr>
      <t>https://www.kenzofitness.co.in/</t>
    </r>
  </si>
  <si>
    <r>
      <rPr>
        <color rgb="FF1155CC"/>
        <u/>
      </rPr>
      <t>https://www.instagram.com/kenzofitnessindia/</t>
    </r>
  </si>
  <si>
    <t>Shop No. 12-13, Gold Crest Residency, Sector 11, Ghansoli, Navi Mumbai, Maharashtra 400701</t>
  </si>
  <si>
    <r>
      <rPr>
        <rFont val="Arial, sans-serif"/>
        <color rgb="FF1155CC"/>
        <u/>
      </rPr>
      <t>https://www.google.com/maps/place/?q=place_id:ChIJiUwsd3rB5zsRjPhJLimncv4</t>
    </r>
  </si>
  <si>
    <t>91676 68669</t>
  </si>
  <si>
    <t>Re-Gen Fitness</t>
  </si>
  <si>
    <r>
      <rPr>
        <color rgb="FF1155CC"/>
        <u/>
      </rPr>
      <t>https://www.instagram.com/regenfitness21/</t>
    </r>
  </si>
  <si>
    <t>https://www.facebook.com/regenfitness21/</t>
  </si>
  <si>
    <r>
      <rPr>
        <rFont val="Arial, sans-serif"/>
        <color rgb="FF1155CC"/>
        <u/>
      </rPr>
      <t>https://www.google.com/maps/place/?q=place_id:ChIJ3YoCpFzH5zsRFllyDZb30BI</t>
    </r>
  </si>
  <si>
    <t>Shop-106, Plot 10, Sector 3, Ghansoli, Navi Mumbai, Maharashtra 400701</t>
  </si>
  <si>
    <r>
      <rPr>
        <rFont val="Arial, sans-serif"/>
        <color rgb="FF1155CC"/>
        <u/>
      </rPr>
      <t>https://www.google.com/maps/place/?q=place_id:ChIJibV45MXA5zsRmV6IpFkesWM</t>
    </r>
  </si>
  <si>
    <t>90828 20128</t>
  </si>
  <si>
    <t>One Life Fitness Hub</t>
  </si>
  <si>
    <t>onelifefitnesshub@gmail.com</t>
  </si>
  <si>
    <t>http://onelifefitnesshub.com</t>
  </si>
  <si>
    <t>https://www.facebook.com/onelifefitnesshub</t>
  </si>
  <si>
    <t>MP's Fitness World (Turbhe)</t>
  </si>
  <si>
    <t>Hanuman Mandir Gali, Turbhe Village, Sector 22, Turbhe, Navi Mumbai, Maharashtra 400703</t>
  </si>
  <si>
    <t>above Jagdamb Hotel, Talvali, Sector 25, Ghansoli, Navi Mumbai, Maharashtra 400701</t>
  </si>
  <si>
    <r>
      <rPr>
        <rFont val="Arial, sans-serif"/>
        <color rgb="FF1155CC"/>
        <u/>
      </rPr>
      <t>https://www.google.com/maps/place/?q=place_id:ChIJzytmFQDB5zsRT65E9N6D52U</t>
    </r>
  </si>
  <si>
    <t>Unicorn Fitness - Unisex Gym</t>
  </si>
  <si>
    <t>Mustangs Fitness Centre | Sanpada</t>
  </si>
  <si>
    <t>Showroom No. 1, Goodwill Unity CHSL, Plot No. 12, Sector 8, Sanpada, Navi Mumbai, Maharashtra 400703</t>
  </si>
  <si>
    <r>
      <rPr>
        <rFont val="Arial, sans-serif"/>
        <color rgb="FF1155CC"/>
        <u/>
      </rPr>
      <t>https://www.google.com/maps/place/?q=place_id:ChIJG0x9Ff_B5zsRqjrUGSQhyQc</t>
    </r>
  </si>
  <si>
    <t>98925 52114</t>
  </si>
  <si>
    <t>MUSTANGS FITNESS CENTRE</t>
  </si>
  <si>
    <r>
      <rPr>
        <rFont val="Arial, sans-serif"/>
        <color rgb="FF1155CC"/>
        <u/>
      </rPr>
      <t>https://www.google.com/maps/place/?q=place_id:ChIJISHA4R3B5zsRGFhKfyr3Fi8</t>
    </r>
  </si>
  <si>
    <t>4 Fitness Gym</t>
  </si>
  <si>
    <r>
      <rPr>
        <rFont val="Arial, sans-serif"/>
        <color rgb="FF1155CC"/>
        <u/>
      </rPr>
      <t>https://www.google.com/maps/place/?q=place_id:ChIJzTd_1CTH5zsRbDgVaDS17bQ</t>
    </r>
  </si>
  <si>
    <t>87792 72114</t>
  </si>
  <si>
    <r>
      <rPr>
        <rFont val="Arial, sans-serif"/>
        <color rgb="FF1155CC"/>
        <u/>
      </rPr>
      <t>https://www.google.com/maps/place/?q=place_id:ChIJ0U9ovqTB5zsR0cSyOZjdQ3I</t>
    </r>
  </si>
  <si>
    <t>MY GYM</t>
  </si>
  <si>
    <t>Shop no.119, 1st floor, Shiva Complex, Sector 19, New Panvel East, Panvel, Maharashtra 410206</t>
  </si>
  <si>
    <t>A1/69, Shop no-3, 1st Floor, Vashi-Turbhe Rd, Sector 21, Turbhe, Navi Mumbai, Maharashtra 400703</t>
  </si>
  <si>
    <r>
      <rPr>
        <rFont val="Arial, sans-serif"/>
        <color rgb="FF1155CC"/>
        <u/>
      </rPr>
      <t>https://www.google.com/maps/place/?q=place_id:ChIJUeUCOWfB5zsRnLsJhjdz7_Y</t>
    </r>
  </si>
  <si>
    <t>98339 11101</t>
  </si>
  <si>
    <t>Third Space Gym</t>
  </si>
  <si>
    <r>
      <rPr>
        <rFont val="Arial, sans-serif"/>
        <color rgb="FF1155CC"/>
        <u/>
      </rPr>
      <t>https://www.google.com/maps/place/?q=place_id:ChIJJZk1RTnB5zsRvAb8wUAnu78</t>
    </r>
  </si>
  <si>
    <t>93727 70136</t>
  </si>
  <si>
    <r>
      <rPr>
        <rFont val="Arial, sans-serif"/>
        <color rgb="FF1155CC"/>
        <u/>
      </rPr>
      <t>https://www.google.com/maps/place/?q=place_id:ChIJc2rKzUbB5zsRMnlwWOXt3YE</t>
    </r>
  </si>
  <si>
    <r>
      <rPr>
        <color rgb="FF1155CC"/>
        <u/>
      </rPr>
      <t>https://www.instagram.com/mps_fitness_world/</t>
    </r>
  </si>
  <si>
    <t>Caravan House, Bank Of India Rd, Sector 24, Turbhe, Navi Mumbai, Maharashtra 400703</t>
  </si>
  <si>
    <r>
      <rPr>
        <rFont val="Arial, sans-serif"/>
        <color rgb="FF1155CC"/>
        <u/>
      </rPr>
      <t>https://www.google.com/maps/place/?q=place_id:ChIJBwipBYrB5zsRADysj6g9HeU</t>
    </r>
  </si>
  <si>
    <t>New Life Fitness</t>
  </si>
  <si>
    <t>Power House Gym</t>
  </si>
  <si>
    <t>1-5, 1st floor, Plot number 4, Sector 24, Kamothe, Panvel, Maharashtra 410209</t>
  </si>
  <si>
    <t>55, Ashok Shantaram Thakur Marg, Sector 6, Sanpada, Navi Mumbai, Maharashtra 400705</t>
  </si>
  <si>
    <r>
      <rPr>
        <rFont val="Arial, sans-serif"/>
        <color rgb="FF1155CC"/>
        <u/>
      </rPr>
      <t>https://www.google.com/maps/place/?q=place_id:ChIJe48gzBfB5zsRIJk1vqmtTYI</t>
    </r>
  </si>
  <si>
    <t>81088 00629</t>
  </si>
  <si>
    <t>Result Fitness</t>
  </si>
  <si>
    <t>Shop No 7-9, Akhurath Bldg, Palm Beach Rd, Sector 14, Sanpada, Navi Mumbai, Maharashtra 400705</t>
  </si>
  <si>
    <r>
      <rPr>
        <rFont val="Arial, sans-serif"/>
        <color rgb="FF1155CC"/>
        <u/>
      </rPr>
      <t>https://www.google.com/maps/place/?q=place_id:ChIJ7V2FMVDB5zsRIIRADCv5QC0</t>
    </r>
  </si>
  <si>
    <t>TOUGHTRIBE FITNESS</t>
  </si>
  <si>
    <t>B/4, 1st Floor, Moraj Palm Paradise, Plot No 8, Sector 17, Sanpada, Navi Mumbai, Maharashtra 400705</t>
  </si>
  <si>
    <t>99205 99440</t>
  </si>
  <si>
    <r>
      <rPr>
        <rFont val="Arial, sans-serif"/>
        <color rgb="FF1155CC"/>
        <u/>
      </rPr>
      <t>https://www.google.com/maps/place/?q=place_id:ChIJVVXl2lDB5zsRDb7h_UmidUI</t>
    </r>
  </si>
  <si>
    <t>Samara Gym</t>
  </si>
  <si>
    <t>info@samaragym.com</t>
  </si>
  <si>
    <r>
      <rPr>
        <color rgb="FF1155CC"/>
        <u/>
      </rPr>
      <t>https://www.samaragym.com</t>
    </r>
  </si>
  <si>
    <t>https://www.instagram.com/samaragymofficial/</t>
  </si>
  <si>
    <t>91374 64261</t>
  </si>
  <si>
    <t>Oneabove Fitness</t>
  </si>
  <si>
    <t>https://www.facebook.com/SamaraGym/</t>
  </si>
  <si>
    <t>Shop no. S7, S8 &amp; S19, 2nd Floor, The Affaires, Palm Beach Rd, Sector 17, Sanpada, Navi Mumbai, Maharashtra 400705</t>
  </si>
  <si>
    <r>
      <rPr>
        <rFont val="Arial, sans-serif"/>
        <color rgb="FF1155CC"/>
        <u/>
      </rPr>
      <t>https://www.google.com/maps/place/?q=place_id:ChIJicHk_fHB5zsRFyxZsdzcrhY</t>
    </r>
  </si>
  <si>
    <t>TUNGSTEN FITNESS CLUB - SANPADA</t>
  </si>
  <si>
    <r>
      <rPr>
        <color rgb="FF1155CC"/>
        <u/>
      </rPr>
      <t>https://tungstenfitness.in</t>
    </r>
  </si>
  <si>
    <t>OutRaw Gym</t>
  </si>
  <si>
    <t>4th Floor, Karnala Sports Academy, Sector 16, Old Panvel, Panvel, Maharashtra 410206</t>
  </si>
  <si>
    <t>84248 32233</t>
  </si>
  <si>
    <r>
      <rPr>
        <rFont val="Arial, sans-serif"/>
        <color rgb="FF1155CC"/>
        <u/>
      </rPr>
      <t>https://www.google.com/maps/place/?q=place_id:ChIJsbhJum7B5zsRhG-i4VpZU2g</t>
    </r>
  </si>
  <si>
    <t>Anytime Fitness (Sanpada)</t>
  </si>
  <si>
    <r>
      <rPr>
        <color rgb="FF1155CC"/>
        <u/>
      </rPr>
      <t>https://www.anytimefitness.co.in</t>
    </r>
  </si>
  <si>
    <t>90829 55754</t>
  </si>
  <si>
    <t>https://www.instagram.com/anytimefitnessindia/</t>
  </si>
  <si>
    <t>https://www.facebook.com/AnytimeFitnessIndia/</t>
  </si>
  <si>
    <t>Paramount Physiqx</t>
  </si>
  <si>
    <t>4th floor, Ravriya City, Sector 18, New Panvel East, Panvel, Maharashtra 410206</t>
  </si>
  <si>
    <r>
      <rPr>
        <rFont val="Arial, sans-serif"/>
        <color rgb="FF1155CC"/>
        <u/>
      </rPr>
      <t>https://www.google.com/maps/place/?q=place_id:ChIJCwOl9wjB5zsRTavGVG0Fsxc</t>
    </r>
  </si>
  <si>
    <t>https://www.instagram.com/metabolicfitness_sanpada/</t>
  </si>
  <si>
    <r>
      <rPr>
        <rFont val="Arial, sans-serif"/>
        <color rgb="FF1155CC"/>
        <u/>
      </rPr>
      <t>https://www.google.com/maps/place/?q=place_id:ChIJjYPsS7_B5zsRVtWebebFobA</t>
    </r>
  </si>
  <si>
    <t>90049 99948</t>
  </si>
  <si>
    <r>
      <rPr>
        <color rgb="FF1155CC"/>
        <u/>
      </rPr>
      <t>https://www.mustangsfitness.com</t>
    </r>
  </si>
  <si>
    <t>04, Sector 11, Sanpada, Navi Mumbai, Maharashtra 400705</t>
  </si>
  <si>
    <t>77688 79921</t>
  </si>
  <si>
    <r>
      <rPr>
        <rFont val="Arial, sans-serif"/>
        <color rgb="FF1155CC"/>
        <u/>
      </rPr>
      <t>https://www.google.com/maps/place/?q=place_id:ChIJJ_ooW17B5zsRvU4HdVz74No</t>
    </r>
  </si>
  <si>
    <t>PRO ADDICTS FITNESS AND GYM (UNISEX)</t>
  </si>
  <si>
    <t>Physc gym Kamothe</t>
  </si>
  <si>
    <t>https://www.instagram.com/proaddictsfitness/</t>
  </si>
  <si>
    <t>Office no 301-304, Sudarshan CHS, Plot no 14, Sector 36, Kamothe, Panvel, Maharashtra 410209</t>
  </si>
  <si>
    <t>86524 24024</t>
  </si>
  <si>
    <t>https://www.facebook.com/proaddictsfitness/</t>
  </si>
  <si>
    <t>Plus Fitness 24/7 Seawoods</t>
  </si>
  <si>
    <t>1st Floor, Tanushree Heights CHS Ltd, Plot No. 34, Seawoods West, Sector 42A, Seawoods, Navi Mumbai, Maharashtra 400706</t>
  </si>
  <si>
    <r>
      <rPr>
        <rFont val="Arial, sans-serif"/>
        <color rgb="FF1155CC"/>
        <u/>
      </rPr>
      <t>https://www.google.com/maps/place/?q=place_id:ChIJA2o3f3jB5zsRofdLLlfpAMo</t>
    </r>
  </si>
  <si>
    <t>73044 43599</t>
  </si>
  <si>
    <t>seawoods@plusfitness.co.in</t>
  </si>
  <si>
    <t>Plus Fitness 24 /7 Belapur | 24 Hour Gym | Working Towards A Healthier India</t>
  </si>
  <si>
    <t>E-003, ground floor, Sanpada Station Rd, Sector 3, Sanpada, Navi Mumbai, Maharashtra 400705</t>
  </si>
  <si>
    <r>
      <rPr>
        <rFont val="Arial, sans-serif"/>
        <color rgb="FF1155CC"/>
        <u/>
      </rPr>
      <t>https://www.google.com/maps/place/?q=place_id:ChIJrdwa-kTB5zsRAb4pH8ufArw</t>
    </r>
  </si>
  <si>
    <t>Prayas Fitness Club</t>
  </si>
  <si>
    <t>https://www.instagram.com/prayasfitnessclub/</t>
  </si>
  <si>
    <t>https://www.facebook.com/prayasfitnessclub/</t>
  </si>
  <si>
    <t>93213 98773</t>
  </si>
  <si>
    <r>
      <rPr>
        <rFont val="Arial, sans-serif"/>
        <color rgb="FF1155CC"/>
        <u/>
      </rPr>
      <t>https://www.google.com/maps/place/?q=place_id:ChIJTQc93t3D5zsRojOon9K_PA4</t>
    </r>
  </si>
  <si>
    <t>Power house gym</t>
  </si>
  <si>
    <r>
      <rPr>
        <color rgb="FF1155CC"/>
        <u/>
      </rPr>
      <t>https://www.plusfitness.co.in/gyms/seawoods</t>
    </r>
  </si>
  <si>
    <r>
      <rPr>
        <color rgb="FF1155CC"/>
        <u/>
      </rPr>
      <t>https://www.instagram.com/plusfitnessindia/</t>
    </r>
  </si>
  <si>
    <t>1st floor, 51, near Grand Central Mall, Seawoods West, Sector 40, Seawoods, Navi Mumbai, Maharashtra 400706</t>
  </si>
  <si>
    <r>
      <rPr>
        <rFont val="Arial, sans-serif"/>
        <color rgb="FF1155CC"/>
        <u/>
      </rPr>
      <t>https://www.google.com/maps/place/?q=place_id:ChIJARs5CADD5zsRLVh14JCR3j4</t>
    </r>
  </si>
  <si>
    <t>Powerplex fitness</t>
  </si>
  <si>
    <t>Shop no.8A, Shanti Vaibhav CHS, Seawoods West, Sector 42A, Nerul, Navi Mumbai, Maharashtra 400706</t>
  </si>
  <si>
    <t>REVIVE FITNESS</t>
  </si>
  <si>
    <t>https://www.instagram.com/revivefitness_seawoods/</t>
  </si>
  <si>
    <t>79776 54950</t>
  </si>
  <si>
    <t>https://www.facebook.com/revivefitnessseawoods/</t>
  </si>
  <si>
    <t>Shop No: 20-23, New Horizon CHS, Sector 46, Seawoods, Navi Mumbai, Maharashtra 400706</t>
  </si>
  <si>
    <r>
      <rPr>
        <rFont val="Arial, sans-serif"/>
        <color rgb="FF1155CC"/>
        <u/>
      </rPr>
      <t>https://www.google.com/maps/place/?q=place_id:ChIJG2x5l4PD5zsRF9xz2k0ELac</t>
    </r>
  </si>
  <si>
    <t>82861 33957</t>
  </si>
  <si>
    <t>The Fitness Empire</t>
  </si>
  <si>
    <t>https://www.instagram.com/thefitnessempire_</t>
  </si>
  <si>
    <t>https://www.facebook.com/thefitnessempireseawoods/</t>
  </si>
  <si>
    <t>97684 18989</t>
  </si>
  <si>
    <r>
      <rPr>
        <rFont val="Arial, sans-serif"/>
        <color rgb="FF1155CC"/>
        <u/>
      </rPr>
      <t>https://www.google.com/maps/place/?q=place_id:ChIJ45PSdpjD5zsRckUCDXaJthY</t>
    </r>
  </si>
  <si>
    <r>
      <rPr>
        <color rgb="FF1155CC"/>
        <u/>
      </rPr>
      <t>https://www.instagram.com/club90gym/</t>
    </r>
  </si>
  <si>
    <r>
      <rPr>
        <color rgb="FF1155CC"/>
        <u/>
      </rPr>
      <t>https://www.facebook.com/club90gym/</t>
    </r>
  </si>
  <si>
    <t>1st Floor, The Signature, Seawoods West, Sector 44A, Seawoods, Navi Mumbai, Maharashtra 400706</t>
  </si>
  <si>
    <r>
      <rPr>
        <rFont val="Arial, sans-serif"/>
        <color rgb="FF1155CC"/>
        <u/>
      </rPr>
      <t>https://www.google.com/maps/place/?q=place_id:ChIJFX1FZPvD5zsRj0hPl6lzbwU</t>
    </r>
  </si>
  <si>
    <t>Taiso Fitness Seawoods</t>
  </si>
  <si>
    <r>
      <rPr>
        <color rgb="FF1155CC"/>
        <u/>
      </rPr>
      <t>https://taisofitness.com</t>
    </r>
  </si>
  <si>
    <t>74001 63731</t>
  </si>
  <si>
    <t>https://www.instagram.com/taisofitness/</t>
  </si>
  <si>
    <r>
      <rPr>
        <color rgb="FF1155CC"/>
        <u/>
      </rPr>
      <t>https://www.facebook.com/taisofitness/</t>
    </r>
  </si>
  <si>
    <t>91670 00877</t>
  </si>
  <si>
    <r>
      <rPr>
        <rFont val="Arial, sans-serif"/>
        <color rgb="FF1155CC"/>
        <u/>
      </rPr>
      <t>https://www.google.com/maps/place/?q=place_id:ChIJRwLGbsXD5zsRL-_Qc87tBqo</t>
    </r>
  </si>
  <si>
    <t>91461 91916</t>
  </si>
  <si>
    <t>Powerplex Fitness</t>
  </si>
  <si>
    <t>https://www.instagram.com/powerplexfitness/</t>
  </si>
  <si>
    <t>https://www.facebook.com/powerplexfitness/</t>
  </si>
  <si>
    <t>Shreeji Darshan Society, Sec 40, Seawoods West, Sector 40, Nerul, Navi Mumbai, Maharashtra 400706</t>
  </si>
  <si>
    <r>
      <rPr>
        <rFont val="Arial, sans-serif"/>
        <color rgb="FF1155CC"/>
        <u/>
      </rPr>
      <t>https://www.google.com/maps/place/?q=place_id:ChIJlaneXwjD5zsRCObvb4AWU14</t>
    </r>
  </si>
  <si>
    <t>91374 54549</t>
  </si>
  <si>
    <t>Verve Gymnasium</t>
  </si>
  <si>
    <t>https://www.instagram.com/vervegymnasium/</t>
  </si>
  <si>
    <t>Ragnor Fitness Prime</t>
  </si>
  <si>
    <t>https://www.facebook.com/vervegymnasium/</t>
  </si>
  <si>
    <t>Shop no.1, near Kamothe Police Station, Sector 7, Kamothe, Panvel, Maharashtra 410209</t>
  </si>
  <si>
    <t>99304 11515</t>
  </si>
  <si>
    <t>ragnorfitnessprime@gmail.com</t>
  </si>
  <si>
    <r>
      <rPr>
        <rFont val="Arial, sans-serif"/>
        <color rgb="FF1155CC"/>
        <u/>
      </rPr>
      <t>https://www.google.com/maps/place/?q=place_id:ChIJoQuppYDp5zsROQZb5kN-pMY</t>
    </r>
  </si>
  <si>
    <t>https://outrawgym.com</t>
  </si>
  <si>
    <t>Ragnor Fitness Ulwe</t>
  </si>
  <si>
    <t>1st Floor, Marvel Soham CHS, Plot No 147, Sector 2, Ulwe, Navi Mumbai, Maharashtra 410206</t>
  </si>
  <si>
    <t>https://www.instagram.com/outrawgym/</t>
  </si>
  <si>
    <t>81690 45550</t>
  </si>
  <si>
    <t>https://www.facebook.com/outrawgym/</t>
  </si>
  <si>
    <t>Madhumalti building, Sector-8, Khanda Colony, Panvel, Navi Mumbai, Maharashtra 410206</t>
  </si>
  <si>
    <r>
      <rPr>
        <rFont val="Arial, sans-serif"/>
        <color rgb="FF1155CC"/>
        <u/>
      </rPr>
      <t>https://www.google.com/maps/place/?q=place_id:ChIJX-EYPADp5zsRtFDGWuLvOT8</t>
    </r>
  </si>
  <si>
    <t>The Warrior Fitness (Formerly Shree Gym)</t>
  </si>
  <si>
    <t>https://www.instagram.com/thewarriorfitness_/</t>
  </si>
  <si>
    <t>87796 72100</t>
  </si>
  <si>
    <t>https://www.facebook.com/thewarriorfitnessgym/</t>
  </si>
  <si>
    <r>
      <rPr>
        <rFont val="Arial, sans-serif"/>
        <color rgb="FF1155CC"/>
        <u/>
      </rPr>
      <t>https://www.google.com/maps/place/?q=place_id:ChIJn6BOf5vp5zsRav2b2GbgHJs</t>
    </r>
  </si>
  <si>
    <t>81080 57050</t>
  </si>
  <si>
    <t>https://www.instagram.com/hifitnessstudio/</t>
  </si>
  <si>
    <t>https://www.facebook.com/hifitnessstudio/</t>
  </si>
  <si>
    <t>Raze Fitness</t>
  </si>
  <si>
    <t>1st Floor, Neelkanth Luxuria, Sector 17, Taloja Panchanand, Taloja Phase 2, Taloja, Panvel, Maharashtra 410208</t>
  </si>
  <si>
    <r>
      <rPr>
        <rFont val="Arial, sans-serif"/>
        <color rgb="FF1155CC"/>
        <u/>
      </rPr>
      <t>https://www.google.com/maps/place/?q=place_id:ChIJwfEFzVzo5zsR9OoQciA9ws0</t>
    </r>
  </si>
  <si>
    <t>89768 72217</t>
  </si>
  <si>
    <t>https://www.instagram.com/mygympanvel/</t>
  </si>
  <si>
    <t>https://www.facebook.com/mygympanvel/</t>
  </si>
  <si>
    <r>
      <rPr>
        <rFont val="Arial, sans-serif"/>
        <color rgb="FF1155CC"/>
        <u/>
      </rPr>
      <t>https://www.google.com/maps/place/?q=place_id:ChIJ01cr7wHp5zsRF8FUbSSPyeU</t>
    </r>
  </si>
  <si>
    <t>https://www.instagram.com/aestheticarenafitness/</t>
  </si>
  <si>
    <r>
      <rPr>
        <rFont val="Arial, sans-serif"/>
        <color rgb="FF1155CC"/>
        <u/>
      </rPr>
      <t>https://www.google.com/maps/place/?q=place_id:ChIJdWP0Fhbo5zsRRNpylqIG6tA</t>
    </r>
  </si>
  <si>
    <t>REBORN GYM</t>
  </si>
  <si>
    <t>1st Floor, Parth Solitaire, Roadpali, Kalamboli, Panvel, Maharashtra 410218</t>
  </si>
  <si>
    <t>https://bhagat-fitness.business.site</t>
  </si>
  <si>
    <r>
      <rPr>
        <rFont val="Arial, sans-serif"/>
        <color rgb="FF1155CC"/>
        <u/>
      </rPr>
      <t>https://www.google.com/maps/place/?q=place_id:ChIJQ29Giyvp5zsRvYI77lNWTVY</t>
    </r>
  </si>
  <si>
    <t>80820 17870</t>
  </si>
  <si>
    <r>
      <rPr>
        <rFont val="Arial, sans-serif"/>
        <color rgb="FF1155CC"/>
        <u/>
      </rPr>
      <t>https://www.google.com/maps/place/?q=place_id:ChIJ0aQudlfp5zsR4j5JgLlWyFw</t>
    </r>
  </si>
  <si>
    <t>88881 18865</t>
  </si>
  <si>
    <t>2nd Floor, Amrut Garden, Sector 17, Greater Khanda, Panvel, Maharashtra 410206</t>
  </si>
  <si>
    <r>
      <rPr>
        <rFont val="Arial, sans-serif"/>
        <color rgb="FF1155CC"/>
        <u/>
      </rPr>
      <t>https://www.google.com/maps/place/?q=place_id:ChIJrxt63Ajp5zsRXjzuKE9RMp4</t>
    </r>
  </si>
  <si>
    <t>88283 08182</t>
  </si>
  <si>
    <t>Taiso Fitness Panvel</t>
  </si>
  <si>
    <t>info@taisoindia.com</t>
  </si>
  <si>
    <r>
      <rPr>
        <color rgb="FF1155CC"/>
        <u/>
      </rPr>
      <t>https://taisoindia.com/gym-in-panvel.html</t>
    </r>
  </si>
  <si>
    <r>
      <rPr>
        <color rgb="FF1155CC"/>
        <u/>
      </rPr>
      <t>https://www.facebook.com/taisofitness/</t>
    </r>
  </si>
  <si>
    <r>
      <rPr>
        <rFont val="Arial, sans-serif"/>
        <color rgb="FF1155CC"/>
        <u/>
      </rPr>
      <t>https://www.google.com/maps/place/?q=place_id:ChIJhcwg5Q_p5zsRAsHn9Zac3G0</t>
    </r>
  </si>
  <si>
    <t>97731 34617</t>
  </si>
  <si>
    <t>1st Floor, Sec no. 2, near Shantiniketan Polytechnic, Sector 2, New Panvel East, Panvel, Maharashtra 410206</t>
  </si>
  <si>
    <r>
      <rPr>
        <rFont val="Arial, sans-serif"/>
        <color rgb="FF1155CC"/>
        <u/>
      </rPr>
      <t>https://www.google.com/maps/place/?q=place_id:ChIJ2ZiBdPzp5zsRQIhWDgtAQOg</t>
    </r>
  </si>
  <si>
    <t>83699 44765</t>
  </si>
  <si>
    <t>Shree Ram Fitness</t>
  </si>
  <si>
    <t>Shubham complex, Sector 11, New Panvel East, Panvel, Maharashtra 410206</t>
  </si>
  <si>
    <r>
      <rPr>
        <rFont val="Arial, sans-serif"/>
        <color rgb="FF1155CC"/>
        <u/>
      </rPr>
      <t>https://www.google.com/maps/place/?q=place_id:ChIJp4Sz-1vp5zsRhcjud-tOKkI</t>
    </r>
  </si>
  <si>
    <t>Tushar Fitness Studio</t>
  </si>
  <si>
    <t>Shop No. 5, Varad Vinayak Complex, Plot No.4, Sector 5, New Panvel East, Panvel, Maharashtra 410206</t>
  </si>
  <si>
    <r>
      <rPr>
        <rFont val="Arial, sans-serif"/>
        <color rgb="FF1155CC"/>
        <u/>
      </rPr>
      <t>https://www.google.com/maps/place/?q=place_id:ChIJFzZ-_iLp5zsRloH51-xeKpA</t>
    </r>
  </si>
  <si>
    <t>Yuj Fitness Studio</t>
  </si>
  <si>
    <r>
      <rPr>
        <rFont val="Arial, sans-serif"/>
        <color rgb="FF1155CC"/>
        <u/>
      </rPr>
      <t>https://www.google.com/maps/place/?q=place_id:ChIJPQ6KUCnp5zsRc9vD0cetmTA</t>
    </r>
  </si>
  <si>
    <t>Revolution Pro Fitness, Rabale</t>
  </si>
  <si>
    <t>Shop no 11, Kamala arcade CHS, Sector 30, Rabale, Navi Mumbai, Maharashtra 400701</t>
  </si>
  <si>
    <r>
      <rPr>
        <rFont val="Arial, sans-serif"/>
        <color rgb="FF1155CC"/>
        <u/>
      </rPr>
      <t>https://www.google.com/maps/place/?q=place_id:ChIJxXfERCTp5zsRd1GSyJxiMcg</t>
    </r>
  </si>
  <si>
    <r>
      <rPr>
        <rFont val="Arial, sans-serif"/>
        <color rgb="FF1155CC"/>
        <u/>
      </rPr>
      <t>https://www.google.com/maps/place/?q=place_id:ChIJJ-o-vDbp5zsRjF1C3DWl2gU</t>
    </r>
  </si>
  <si>
    <t>Physc Gym Kamothe</t>
  </si>
  <si>
    <r>
      <rPr>
        <rFont val="Arial, sans-serif"/>
        <color rgb="FF1155CC"/>
        <u/>
      </rPr>
      <t>https://www.google.com/maps/place/?q=place_id:ChIJ3xuUSzzp5zsRze4dd6hvKT4</t>
    </r>
  </si>
  <si>
    <t>Royal Fitness</t>
  </si>
  <si>
    <t>1, Sion-Panvel Hwy, Sector 1, Kalamboli, Panvel, Maharashtra 410218</t>
  </si>
  <si>
    <r>
      <rPr>
        <color rgb="FF1155CC"/>
        <u/>
      </rPr>
      <t>https://www.fitnessclubstudio.in</t>
    </r>
  </si>
  <si>
    <t>https://www.instagram.com/fitnessclubstudio/</t>
  </si>
  <si>
    <t>https://www.facebook.com/fitnessclubstudio</t>
  </si>
  <si>
    <r>
      <rPr>
        <rFont val="Arial, sans-serif"/>
        <color rgb="FF1155CC"/>
        <u/>
      </rPr>
      <t>https://www.google.com/maps/place/?q=place_id:ChIJnc68caPp5zsRmWfnls9rfTs</t>
    </r>
  </si>
  <si>
    <t>91372 88105</t>
  </si>
  <si>
    <r>
      <rPr>
        <color rgb="FF1155CC"/>
        <u/>
      </rPr>
      <t>https://www.samaragym.com</t>
    </r>
  </si>
  <si>
    <t>1st floor, Shiv Parvati CHS, Sector 11, Kamothe, Panvel, Maharashtra 410209</t>
  </si>
  <si>
    <r>
      <rPr>
        <rFont val="Arial, sans-serif"/>
        <color rgb="FF1155CC"/>
        <u/>
      </rPr>
      <t>https://www.google.com/maps/place/?q=place_id:ChIJYWomcwjp5zsRvdIJhwLt6nI</t>
    </r>
  </si>
  <si>
    <t>Swap2fit Luxury Fitness Club</t>
  </si>
  <si>
    <t>79000 31593</t>
  </si>
  <si>
    <r>
      <rPr>
        <rFont val="Arial, sans-serif"/>
        <color rgb="FF1155CC"/>
        <u/>
      </rPr>
      <t>https://www.google.com/maps/place/?q=place_id:ChIJLU3gn2Xp5zsRLBiGwmP4IQo</t>
    </r>
  </si>
  <si>
    <t>Infinity Fitness Kamothe</t>
  </si>
  <si>
    <r>
      <rPr>
        <rFont val="Arial, sans-serif"/>
        <color rgb="FF1155CC"/>
        <u/>
      </rPr>
      <t>https://www.google.com/maps/place/?q=place_id:ChIJrdiWqozp5zsRhVECcYVMzqM</t>
    </r>
  </si>
  <si>
    <t>84510 96123</t>
  </si>
  <si>
    <r>
      <rPr>
        <rFont val="Arial, sans-serif"/>
        <color rgb="FF1155CC"/>
        <u/>
      </rPr>
      <t>https://www.google.com/maps/place/?q=place_id:ChIJB69rRIfp5zsRTHp4bnvmWJY</t>
    </r>
  </si>
  <si>
    <t>91376 47501</t>
  </si>
  <si>
    <r>
      <rPr>
        <rFont val="Arial, sans-serif"/>
        <color rgb="FF1155CC"/>
        <u/>
      </rPr>
      <t>https://www.google.com/maps/place/?q=place_id:ChIJVVXFrNbp5zsR6oEozc5ZajU</t>
    </r>
  </si>
  <si>
    <t>98204 81065</t>
  </si>
  <si>
    <r>
      <rPr>
        <rFont val="Arial, sans-serif"/>
        <color rgb="FF1155CC"/>
        <u/>
      </rPr>
      <t>https://www.google.com/maps/place/?q=place_id:ChIJ4bCKehjp5zsRSLz6-ltsrWo</t>
    </r>
  </si>
  <si>
    <t>83696 55420</t>
  </si>
  <si>
    <r>
      <rPr>
        <rFont val="Arial, sans-serif"/>
        <color rgb="FF1155CC"/>
        <u/>
      </rPr>
      <t>https://www.google.com/maps/place/?q=place_id:ChIJ5cvkI4Hp5zsRVr3PY8-ZFH0</t>
    </r>
  </si>
  <si>
    <t>86554 18904</t>
  </si>
  <si>
    <t>Gym in Panvel | TAISO Fitness | Open 24/7 | Steam Bath &amp; Jacuzzi</t>
  </si>
  <si>
    <r>
      <rPr>
        <rFont val="Arial, sans-serif"/>
        <color rgb="FF1155CC"/>
        <u/>
      </rPr>
      <t>https://www.google.com/maps/place/?q=place_id:ChIJz6pH6YTp5zsRRV1svcOTHhg</t>
    </r>
  </si>
  <si>
    <t>Taiso Fitness</t>
  </si>
  <si>
    <r>
      <rPr>
        <rFont val="Arial, sans-serif"/>
        <color rgb="FF1155CC"/>
        <u/>
      </rPr>
      <t>https://www.google.com/maps/place/?q=place_id:ChIJjQxUagDp5zsRrrQyEki_C_A</t>
    </r>
  </si>
  <si>
    <t>99305 62521</t>
  </si>
  <si>
    <r>
      <rPr>
        <rFont val="Arial, sans-serif"/>
        <color rgb="FF1155CC"/>
        <u/>
      </rPr>
      <t>https://www.google.com/maps/place/?q=place_id:ChIJJy-GPEno5zsRS363w7QVr_8</t>
    </r>
  </si>
  <si>
    <t>The Field Kalamboli</t>
  </si>
  <si>
    <r>
      <rPr>
        <color rgb="FF1155CC"/>
        <u/>
      </rPr>
      <t>https://www.instagram.com/fitnessium_gym/</t>
    </r>
  </si>
  <si>
    <t>Parth Solitaire, 1st floor, Roadpali, Kalamboli, Panvel, Maharashtra 410218</t>
  </si>
  <si>
    <t>70453 11137</t>
  </si>
  <si>
    <t>https://www.facebook.com/fitnessiumgym/</t>
  </si>
  <si>
    <r>
      <rPr>
        <rFont val="Arial, sans-serif"/>
        <color rgb="FF1155CC"/>
        <u/>
      </rPr>
      <t>https://www.google.com/maps/place/?q=place_id:ChIJB2lhT7jp5zsRf_CxG67-lbY</t>
    </r>
  </si>
  <si>
    <t>81048 82203</t>
  </si>
  <si>
    <t>https://www.instagram.com/reborngym_kalamboli/</t>
  </si>
  <si>
    <t>https://www.facebook.com/reborngymkalamboli/</t>
  </si>
  <si>
    <t>The Lion's Fitness Gym</t>
  </si>
  <si>
    <t>1st floor, Imperial Crest, Plot no 62, Sector 26, Taloja Phase 2, Taloja, Panvel, Maharashtra 410208</t>
  </si>
  <si>
    <t>99309 63964</t>
  </si>
  <si>
    <r>
      <rPr>
        <rFont val="Arial, sans-serif"/>
        <color rgb="FF1155CC"/>
        <u/>
      </rPr>
      <t>https://www.google.com/maps/place/?q=place_id:ChIJ-6o65mfp5zsRZsod4LrHq2g</t>
    </r>
  </si>
  <si>
    <t>The Power House Gymnasium</t>
  </si>
  <si>
    <t>Dighe Village, Dighe, Navi Mumbai, Maharashtra 400708</t>
  </si>
  <si>
    <r>
      <rPr>
        <color rgb="FF1155CC"/>
        <u/>
      </rPr>
      <t>https://www.instagram.com/thefieldkalamboli/</t>
    </r>
  </si>
  <si>
    <t>99302 67642</t>
  </si>
  <si>
    <r>
      <rPr>
        <rFont val="Arial, sans-serif"/>
        <color rgb="FF1155CC"/>
        <u/>
      </rPr>
      <t>https://www.google.com/maps/place/?q=place_id:ChIJbXQSKcTp5zsRDQtz5UGdq5s</t>
    </r>
  </si>
  <si>
    <t>The Roarr Fitness Club</t>
  </si>
  <si>
    <t>Nexus Height, 1st floor, Phase 2, Sector 19, Taloja Panchanand, Taloja Phase 2, Taloja, Panvel, Maharashtra 410208</t>
  </si>
  <si>
    <t>77389 86065</t>
  </si>
  <si>
    <t>Force Fitness Gym</t>
  </si>
  <si>
    <t>https://www.instagram.com/forcefitnessgym/</t>
  </si>
  <si>
    <r>
      <rPr>
        <rFont val="Arial, sans-serif"/>
        <color rgb="FF1155CC"/>
        <u/>
      </rPr>
      <t>https://www.google.com/maps/place/?q=place_id:ChIJ5UxooIzp5zsRtoZokU63-NA</t>
    </r>
  </si>
  <si>
    <t>92230 23928</t>
  </si>
  <si>
    <t>https://www.instagram.com/malharfitnessstudio/</t>
  </si>
  <si>
    <t>Third space gym</t>
  </si>
  <si>
    <t>https://www.facebook.com/malharfitnessstudio/</t>
  </si>
  <si>
    <r>
      <rPr>
        <rFont val="Arial, sans-serif"/>
        <color rgb="FF1155CC"/>
        <u/>
      </rPr>
      <t>https://www.google.com/maps/place/?q=place_id:ChIJy-OnGs_p5zsRN0b4UKDdZDw</t>
    </r>
  </si>
  <si>
    <t>88504 31372</t>
  </si>
  <si>
    <t>https://www.instagram.com/royalfitness_kalamboli/</t>
  </si>
  <si>
    <r>
      <rPr>
        <rFont val="Arial, sans-serif"/>
        <color rgb="FF1155CC"/>
        <u/>
      </rPr>
      <t>https://www.google.com/maps/place/?q=place_id:ChIJH-oj0ODp5zsRmZUzCGwlQMU</t>
    </r>
  </si>
  <si>
    <t>Fit2Fit Health Fitness Club</t>
  </si>
  <si>
    <t>https://www.instagram.com/fit2fit_healthfitnessclub/</t>
  </si>
  <si>
    <t>83696 08923</t>
  </si>
  <si>
    <t>Neel Rosalia, Plot number-5, Sector 9, Ulwe, Navi Mumbai, Maharashtra 410206</t>
  </si>
  <si>
    <r>
      <rPr>
        <rFont val="Arial, sans-serif"/>
        <color rgb="FF1155CC"/>
        <u/>
      </rPr>
      <t>https://www.google.com/maps/place/?q=place_id:ChIJi4q3sfrD5zsRTXuVg-SRg7M</t>
    </r>
  </si>
  <si>
    <t>Urban Gymnation (Sector 9)</t>
  </si>
  <si>
    <t>https://urbangymnation.com</t>
  </si>
  <si>
    <t>79770 77905</t>
  </si>
  <si>
    <t>Tungsten Fitness Club</t>
  </si>
  <si>
    <r>
      <rPr>
        <color rgb="FF1155CC"/>
        <u/>
      </rPr>
      <t>https://www.instagram.com/urbangymnation/</t>
    </r>
  </si>
  <si>
    <r>
      <rPr>
        <color rgb="FF1155CC"/>
        <u/>
      </rPr>
      <t>https://www.facebook.com/urbangymnation/</t>
    </r>
  </si>
  <si>
    <t>Tungsten Fitness Club (TFC) - Ghansoli</t>
  </si>
  <si>
    <t>Shop No. 17, Goldcrest Residency, Sector-11, Palm Beach Rd, Ghansoli, Navi Mumbai, Maharashtra 400701</t>
  </si>
  <si>
    <t>78008 80068</t>
  </si>
  <si>
    <r>
      <rPr>
        <rFont val="Arial, sans-serif"/>
        <color rgb="FF1155CC"/>
        <u/>
      </rPr>
      <t>https://www.google.com/maps/place/?q=place_id:ChIJiSjru4bD5zsRKYR8cdqjAHI</t>
    </r>
  </si>
  <si>
    <r>
      <rPr>
        <color rgb="FF1155CC"/>
        <u/>
      </rPr>
      <t>https://www.kenzofitness.co.in</t>
    </r>
  </si>
  <si>
    <t>91676 77002</t>
  </si>
  <si>
    <r>
      <rPr>
        <color rgb="FF1155CC"/>
        <u/>
      </rPr>
      <t>https://www.instagram.com/kenzofitnessindia/</t>
    </r>
  </si>
  <si>
    <t>Shop no 6-9, Neelkanth Exotica, Sector 21, Ulwe, Navi Mumbai, Maharashtra 410206</t>
  </si>
  <si>
    <r>
      <rPr>
        <rFont val="Arial, sans-serif"/>
        <color rgb="FF1155CC"/>
        <u/>
      </rPr>
      <t>https://www.google.com/maps/place/?q=place_id:ChIJGz9GnSPD5zsRVwoVg7T3iaY</t>
    </r>
  </si>
  <si>
    <t>Tungsten Fitness Club (TFC) - Ulwe</t>
  </si>
  <si>
    <t>Sai Pushpam, Plot No. 161, Sector 2, Ulwe, Navi Mumbai, Maharashtra 410206</t>
  </si>
  <si>
    <t>88287 00778</t>
  </si>
  <si>
    <t>Urban Gymnation (Sector 21)</t>
  </si>
  <si>
    <r>
      <rPr>
        <color rgb="FF1155CC"/>
        <u/>
      </rPr>
      <t>https://www.instagram.com/urbangymnation/</t>
    </r>
  </si>
  <si>
    <r>
      <rPr>
        <color rgb="FF1155CC"/>
        <u/>
      </rPr>
      <t>https://www.facebook.com/urbangymnation/</t>
    </r>
  </si>
  <si>
    <r>
      <rPr>
        <rFont val="Arial, sans-serif"/>
        <color rgb="FF1155CC"/>
        <u/>
      </rPr>
      <t>https://www.google.com/maps/place/?q=place_id:ChIJjVw-NvDD5zsR61WISEhHFvQ</t>
    </r>
  </si>
  <si>
    <t>81692 32775</t>
  </si>
  <si>
    <r>
      <rPr>
        <rFont val="Arial, sans-serif"/>
        <color rgb="FF1155CC"/>
        <u/>
      </rPr>
      <t>https://www.google.com/maps/place/?q=place_id:ChIJr8gukCnD5zsRdGN0zMGexOY</t>
    </r>
  </si>
  <si>
    <t>Tushar fitness studio</t>
  </si>
  <si>
    <t>https://www.instagram.com/aeifitness/</t>
  </si>
  <si>
    <t>97682 62139</t>
  </si>
  <si>
    <t>https://www.facebook.com/aeifitness/</t>
  </si>
  <si>
    <r>
      <rPr>
        <rFont val="Arial, sans-serif"/>
        <color rgb="FF1155CC"/>
        <u/>
      </rPr>
      <t>https://www.google.com/maps/place/?q=place_id:ChIJB0ubm77D5zsRsS83Gjldn0M</t>
    </r>
  </si>
  <si>
    <t>https://www.instagram.com/cutandcurvefitnessclub/</t>
  </si>
  <si>
    <t>Unique Fitness Gym</t>
  </si>
  <si>
    <t>Shree Swami Samarth Bhawan, Bhola Nagar, Dighe, Navi Mumbai, Thane, Maharashtra 400708</t>
  </si>
  <si>
    <t>https://www.facebook.com/cutandcurvefitnessclub/</t>
  </si>
  <si>
    <t>77388 55277</t>
  </si>
  <si>
    <r>
      <rPr>
        <rFont val="Arial, sans-serif"/>
        <color rgb="FF1155CC"/>
        <u/>
      </rPr>
      <t>https://www.google.com/maps/place/?q=place_id:ChIJCV_7AJTD5zsRcGXwg0UvCJk</t>
    </r>
  </si>
  <si>
    <t>Urban Gymnasium</t>
  </si>
  <si>
    <t>Plot Number 15, Sector 24, Taloja Panchanand, Taloja Phase 2, Taloja, Panvel, Maharashtra 410208</t>
  </si>
  <si>
    <t>https://www.instagram.com/goprofitness_ulwe/</t>
  </si>
  <si>
    <t>88281 81434</t>
  </si>
  <si>
    <t>https://www.facebook.com/goprofitnessulwe/</t>
  </si>
  <si>
    <r>
      <rPr>
        <rFont val="Arial, sans-serif"/>
        <color rgb="FF1155CC"/>
        <u/>
      </rPr>
      <t>https://www.google.com/maps/place/?q=place_id:ChIJqWnSMmXD5zsRZkQ1xLBaElA</t>
    </r>
  </si>
  <si>
    <t>98334 86677</t>
  </si>
  <si>
    <r>
      <rPr>
        <color rgb="FF1155CC"/>
        <u/>
      </rPr>
      <t>https://tungstenfitness.in</t>
    </r>
  </si>
  <si>
    <r>
      <rPr>
        <rFont val="Arial, sans-serif"/>
        <color rgb="FF1155CC"/>
        <u/>
      </rPr>
      <t>https://www.google.com/maps/place/?q=place_id:ChIJ0YfZQ4bD5zsRgQ5cJG740Sc</t>
    </r>
  </si>
  <si>
    <t>93728 49134</t>
  </si>
  <si>
    <t>https://www.instagram.com/leofitness_ulwe/</t>
  </si>
  <si>
    <t>88284 33493</t>
  </si>
  <si>
    <r>
      <rPr>
        <rFont val="Arial, sans-serif"/>
        <color rgb="FF1155CC"/>
        <u/>
      </rPr>
      <t>https://www.google.com/maps/place/?q=place_id:ChIJ1fuylC7D5zsREzdLKMgikxs</t>
    </r>
  </si>
  <si>
    <r>
      <rPr>
        <rFont val="Arial, sans-serif"/>
        <color rgb="FF1155CC"/>
        <u/>
      </rPr>
      <t>https://www.google.com/maps/place/?q=place_id:ChIJdYACBfvr5zsR2WYJR2KZh-0</t>
    </r>
  </si>
  <si>
    <t>98336 99346</t>
  </si>
  <si>
    <r>
      <rPr>
        <rFont val="Arial, sans-serif"/>
        <color rgb="FF1155CC"/>
        <u/>
      </rPr>
      <t>https://www.google.com/maps/place/?q=place_id:ChIJ4XyEl9zr5zsRc2QMp2og3Ls</t>
    </r>
  </si>
  <si>
    <t>https://www.instagram.com/thelionsfitnessgym/</t>
  </si>
  <si>
    <t>https://www.facebook.com/thelionsfitnessgym/</t>
  </si>
  <si>
    <t>97026 50756</t>
  </si>
  <si>
    <r>
      <rPr>
        <rFont val="Arial, sans-serif"/>
        <color rgb="FF1155CC"/>
        <u/>
      </rPr>
      <t>https://www.google.com/maps/place/?q=place_id:ChIJBZd4y9rr5zsRzC9rqx0V808</t>
    </r>
  </si>
  <si>
    <t>75079 99555</t>
  </si>
  <si>
    <t>https://www.instagram.com/razefitness/</t>
  </si>
  <si>
    <t>https://www.facebook.com/razefitness/</t>
  </si>
  <si>
    <r>
      <rPr>
        <rFont val="Arial, sans-serif"/>
        <color rgb="FF1155CC"/>
        <u/>
      </rPr>
      <t>https://www.google.com/maps/place/?q=place_id:ChIJg7RBlxPr5zsRNkLC_ko5aH8</t>
    </r>
  </si>
  <si>
    <t>78888 15252</t>
  </si>
  <si>
    <r>
      <rPr>
        <rFont val="Arial, sans-serif"/>
        <color rgb="FF1155CC"/>
        <u/>
      </rPr>
      <t>https://www.google.com/maps/place/?q=place_id:ChIJf6s9IrPr5zsRevAbcH5vFis</t>
    </r>
  </si>
  <si>
    <t>https://www.instagram.com/iroxxgym/</t>
  </si>
  <si>
    <t>https://www.facebook.com/iroxxgym/</t>
  </si>
  <si>
    <r>
      <rPr>
        <rFont val="Arial, sans-serif"/>
        <color rgb="FF1155CC"/>
        <u/>
      </rPr>
      <t>https://www.google.com/maps/place/?q=place_id:ChIJs8JD-53D5zsRRpW1MxCupb0</t>
    </r>
  </si>
  <si>
    <t>https://www.instagram.com/theroarrfitnessclub/</t>
  </si>
  <si>
    <t>https://www.facebook.com/theroarrfitnessclub/</t>
  </si>
  <si>
    <r>
      <rPr>
        <rFont val="Arial, sans-serif"/>
        <color rgb="FF1155CC"/>
        <u/>
      </rPr>
      <t>https://www.google.com/maps/place/?q=place_id:ChIJUbwNulzr5zsRuMHhTGdb2EY</t>
    </r>
  </si>
  <si>
    <t>https://www.instagram.com/m90fitnesshouse/</t>
  </si>
  <si>
    <t>https://www.facebook.com/m90fitnesshouse/</t>
  </si>
  <si>
    <r>
      <rPr>
        <rFont val="Arial, sans-serif"/>
        <color rgb="FF1155CC"/>
        <u/>
      </rPr>
      <t>https://www.google.com/maps/place/?q=place_id:ChIJ6x5Fiq_r5zsRxAidUM5W_SY</t>
    </r>
  </si>
  <si>
    <r>
      <rPr>
        <rFont val="Arial, sans-serif"/>
        <color rgb="FF1155CC"/>
        <u/>
      </rPr>
      <t>https://www.google.com/maps/place/?q=place_id:ChIJxU7hm9HB5zsRqifyJ-s_kYI</t>
    </r>
  </si>
  <si>
    <r>
      <rPr>
        <rFont val="Arial, sans-serif"/>
        <color rgb="FF1155CC"/>
        <u/>
      </rPr>
      <t>https://www.google.com/maps/place/?q=place_id:ChIJfeD7TTfB5zsRL0FjBk3kTpc</t>
    </r>
  </si>
  <si>
    <r>
      <rPr>
        <color rgb="FF1155CC"/>
        <u/>
      </rPr>
      <t>https://tungstenfitness.in</t>
    </r>
  </si>
  <si>
    <r>
      <rPr>
        <rFont val="Arial, sans-serif"/>
        <color rgb="FF1155CC"/>
        <u/>
      </rPr>
      <t>https://www.google.com/maps/place/?q=place_id:ChIJT1XoGZfB5zsR75cNTmA02As</t>
    </r>
  </si>
  <si>
    <r>
      <rPr>
        <color rgb="FF1155CC"/>
        <u/>
      </rPr>
      <t>https://www.instagram.com/revolutionprofitness/</t>
    </r>
  </si>
  <si>
    <r>
      <rPr>
        <rFont val="Arial, sans-serif"/>
        <color rgb="FF1155CC"/>
        <u/>
      </rPr>
      <t>https://www.google.com/maps/place/?q=place_id:ChIJi-QskMvB5zsRq0gTpm2yu_w</t>
    </r>
  </si>
  <si>
    <r>
      <rPr>
        <rFont val="Arial, sans-serif"/>
        <color rgb="FF1155CC"/>
        <u/>
      </rPr>
      <t>https://www.google.com/maps/place/?q=place_id:ChIJjdmqWRTB5zsRhTScqp1ql6A</t>
    </r>
  </si>
  <si>
    <t>https://fitbeatstudio.in</t>
  </si>
  <si>
    <t>https://www.instagram.com/fitbeatstudio/</t>
  </si>
  <si>
    <t>https://www.facebook.com/fitbeatstudio/</t>
  </si>
  <si>
    <r>
      <rPr>
        <rFont val="Arial, sans-serif"/>
        <color rgb="FF1155CC"/>
        <u/>
      </rPr>
      <t>https://www.google.com/maps/place/?q=place_id:ChIJW0q1Loi_5zsRtKisXt0Ox-8</t>
    </r>
  </si>
  <si>
    <t>https://www.instagram.com/dkfitnessdigha/</t>
  </si>
  <si>
    <r>
      <rPr>
        <rFont val="Arial, sans-serif"/>
        <color rgb="FF1155CC"/>
        <u/>
      </rPr>
      <t>https://www.google.com/maps/place/?q=place_id:ChIJbTYwPAC_5zsRBu5AeeJd77Y</t>
    </r>
  </si>
  <si>
    <r>
      <rPr>
        <rFont val="Arial, sans-serif"/>
        <color rgb="FF1155CC"/>
        <u/>
      </rPr>
      <t>https://www.google.com/maps/place/?q=place_id:ChIJwdZUyem_5zsRwUb_EsByJ4Y</t>
    </r>
  </si>
  <si>
    <r>
      <rPr>
        <rFont val="Arial, sans-serif"/>
        <color rgb="FF1155CC"/>
        <u/>
      </rPr>
      <t>https://www.google.com/maps/place/?q=place_id:ChIJAQAcYTK_5zsRvLb-Pt7_Jz0</t>
    </r>
  </si>
  <si>
    <t>https://www.instagram.com/powerhousegymnasium/</t>
  </si>
  <si>
    <t>https://www.facebook.com/powerhousegymnasium/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</si>
</sst>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0.0"/>
      <color rgb="FFFFFFFF"/>
      <name val="Arial"/>
    </font>
    <font>
      <sz val="11.0"/>
      <color rgb="FFFFFFFF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1" fillId="3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/>
    </xf>
    <xf borderId="0" fillId="3" fontId="2" numFmtId="0" xfId="0" applyAlignment="1" applyFont="1">
      <alignment horizontal="left" readingOrder="0"/>
    </xf>
    <xf borderId="0" fillId="0" fontId="3" numFmtId="0" xfId="0" applyFont="1"/>
    <xf borderId="0" fillId="0" fontId="4" numFmtId="0" xfId="0" applyAlignment="1" applyFont="1">
      <alignment horizontal="left"/>
    </xf>
    <xf borderId="1" fillId="3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readingOrder="0"/>
    </xf>
    <xf borderId="0" fillId="3" fontId="4" numFmtId="0" xfId="0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0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1" fillId="0" fontId="5" numFmtId="0" xfId="0" applyAlignment="1" applyBorder="1" applyFont="1">
      <alignment horizontal="left" vertical="bottom"/>
    </xf>
    <xf borderId="0" fillId="0" fontId="5" numFmtId="0" xfId="0" applyAlignment="1" applyFont="1">
      <alignment horizontal="left" vertical="bottom"/>
    </xf>
    <xf borderId="1" fillId="0" fontId="7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/>
    </xf>
    <xf borderId="1" fillId="0" fontId="5" numFmtId="0" xfId="0" applyAlignment="1" applyBorder="1" applyFont="1">
      <alignment shrinkToFit="0" wrapText="0"/>
    </xf>
    <xf borderId="1" fillId="0" fontId="4" numFmtId="0" xfId="0" applyAlignment="1" applyBorder="1" applyFont="1">
      <alignment horizontal="left" readingOrder="0"/>
    </xf>
    <xf borderId="1" fillId="0" fontId="5" numFmtId="49" xfId="0" applyAlignment="1" applyBorder="1" applyFont="1" applyNumberFormat="1">
      <alignment readingOrder="0"/>
    </xf>
    <xf borderId="0" fillId="0" fontId="11" numFmtId="0" xfId="0" applyAlignment="1" applyFont="1">
      <alignment horizontal="left" readingOrder="0"/>
    </xf>
    <xf borderId="1" fillId="0" fontId="5" numFmtId="49" xfId="0" applyAlignment="1" applyBorder="1" applyFont="1" applyNumberFormat="1">
      <alignment horizontal="left" readingOrder="0"/>
    </xf>
    <xf borderId="0" fillId="0" fontId="5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tungstenfitnessclub/" TargetMode="External"/><Relationship Id="rId190" Type="http://schemas.openxmlformats.org/officeDocument/2006/relationships/hyperlink" Target="https://www.facebook.com/tungstenfitnessclub/" TargetMode="External"/><Relationship Id="rId42" Type="http://schemas.openxmlformats.org/officeDocument/2006/relationships/hyperlink" Target="https://www.instagram.com/ragnorfitness/" TargetMode="External"/><Relationship Id="rId41" Type="http://schemas.openxmlformats.org/officeDocument/2006/relationships/hyperlink" Target="https://www.google.com/maps/place/?q=place_id:ChIJE7x_46LD5zsR8IWA6yWrsnU" TargetMode="External"/><Relationship Id="rId44" Type="http://schemas.openxmlformats.org/officeDocument/2006/relationships/hyperlink" Target="https://www.google.com/maps/place/?q=place_id:ChIJ0QJ4GpXD5zsRMOeBKWTMJug" TargetMode="External"/><Relationship Id="rId194" Type="http://schemas.openxmlformats.org/officeDocument/2006/relationships/hyperlink" Target="https://www.facebook.com/AnytimeFitnessIndia/" TargetMode="External"/><Relationship Id="rId43" Type="http://schemas.openxmlformats.org/officeDocument/2006/relationships/hyperlink" Target="https://www.facebook.com/ragnorfitness/" TargetMode="External"/><Relationship Id="rId193" Type="http://schemas.openxmlformats.org/officeDocument/2006/relationships/hyperlink" Target="https://www.instagram.com/anytimefitnessindia/" TargetMode="External"/><Relationship Id="rId46" Type="http://schemas.openxmlformats.org/officeDocument/2006/relationships/hyperlink" Target="https://www.facebook.com/NerulGymkhana/" TargetMode="External"/><Relationship Id="rId192" Type="http://schemas.openxmlformats.org/officeDocument/2006/relationships/hyperlink" Target="https://www.anytimefitness.co.in" TargetMode="External"/><Relationship Id="rId45" Type="http://schemas.openxmlformats.org/officeDocument/2006/relationships/hyperlink" Target="https://www.nerulgymkhana.com/" TargetMode="External"/><Relationship Id="rId191" Type="http://schemas.openxmlformats.org/officeDocument/2006/relationships/hyperlink" Target="https://www.google.com/maps/place/?q=place_id:ChIJsbhJum7B5zsRhG-i4VpZU2g" TargetMode="External"/><Relationship Id="rId48" Type="http://schemas.openxmlformats.org/officeDocument/2006/relationships/hyperlink" Target="https://www.instagram.com/bemorefitgym/" TargetMode="External"/><Relationship Id="rId187" Type="http://schemas.openxmlformats.org/officeDocument/2006/relationships/hyperlink" Target="https://www.google.com/maps/place/?q=place_id:ChIJicHk_fHB5zsRFyxZsdzcrhY" TargetMode="External"/><Relationship Id="rId47" Type="http://schemas.openxmlformats.org/officeDocument/2006/relationships/hyperlink" Target="https://www.google.com/maps/place/?q=place_id:ChIJ0-V5YlPD5zsRxkc8NJ8CbKg" TargetMode="External"/><Relationship Id="rId186" Type="http://schemas.openxmlformats.org/officeDocument/2006/relationships/hyperlink" Target="https://www.facebook.com/SamaraGym/" TargetMode="External"/><Relationship Id="rId185" Type="http://schemas.openxmlformats.org/officeDocument/2006/relationships/hyperlink" Target="https://www.instagram.com/samaragymofficial/" TargetMode="External"/><Relationship Id="rId49" Type="http://schemas.openxmlformats.org/officeDocument/2006/relationships/hyperlink" Target="https://www.facebook.com/bemorefitgym/" TargetMode="External"/><Relationship Id="rId184" Type="http://schemas.openxmlformats.org/officeDocument/2006/relationships/hyperlink" Target="https://www.samaragym.com?utm_source=chatgpt.com" TargetMode="External"/><Relationship Id="rId189" Type="http://schemas.openxmlformats.org/officeDocument/2006/relationships/hyperlink" Target="https://www.instagram.com/tungstenfitnessclub/" TargetMode="External"/><Relationship Id="rId188" Type="http://schemas.openxmlformats.org/officeDocument/2006/relationships/hyperlink" Target="https://tungstenfitness.in" TargetMode="External"/><Relationship Id="rId31" Type="http://schemas.openxmlformats.org/officeDocument/2006/relationships/hyperlink" Target="https://www.instagram.com/sevenstarfitnessstudio/" TargetMode="External"/><Relationship Id="rId30" Type="http://schemas.openxmlformats.org/officeDocument/2006/relationships/hyperlink" Target="https://www.google.com/maps/place/?q=place_id:ChIJ63v9_Q7B5zsRNwKopMhDhEU" TargetMode="External"/><Relationship Id="rId33" Type="http://schemas.openxmlformats.org/officeDocument/2006/relationships/hyperlink" Target="https://www.google.com/maps/place/?q=place_id:ChIJ-wkhrL7D5zsRefWTOo92UsY" TargetMode="External"/><Relationship Id="rId183" Type="http://schemas.openxmlformats.org/officeDocument/2006/relationships/hyperlink" Target="https://www.google.com/maps/place/?q=place_id:ChIJVVXl2lDB5zsRDb7h_UmidUI" TargetMode="External"/><Relationship Id="rId32" Type="http://schemas.openxmlformats.org/officeDocument/2006/relationships/hyperlink" Target="https://www.facebook.com/sevenstarfitnessstudio/" TargetMode="External"/><Relationship Id="rId182" Type="http://schemas.openxmlformats.org/officeDocument/2006/relationships/hyperlink" Target="https://www.google.com/maps/place/?q=place_id:ChIJ7V2FMVDB5zsRIIRADCv5QC0" TargetMode="External"/><Relationship Id="rId35" Type="http://schemas.openxmlformats.org/officeDocument/2006/relationships/hyperlink" Target="https://www.instagram.com/oneabovefitness/" TargetMode="External"/><Relationship Id="rId181" Type="http://schemas.openxmlformats.org/officeDocument/2006/relationships/hyperlink" Target="https://www.google.com/maps/place/?q=place_id:ChIJe48gzBfB5zsRIJk1vqmtTYI" TargetMode="External"/><Relationship Id="rId34" Type="http://schemas.openxmlformats.org/officeDocument/2006/relationships/hyperlink" Target="https://oneabovefitness.com/" TargetMode="External"/><Relationship Id="rId180" Type="http://schemas.openxmlformats.org/officeDocument/2006/relationships/hyperlink" Target="https://www.google.com/maps/place/?q=place_id:ChIJBwipBYrB5zsRADysj6g9HeU" TargetMode="External"/><Relationship Id="rId37" Type="http://schemas.openxmlformats.org/officeDocument/2006/relationships/hyperlink" Target="https://www.google.com/maps/place/?q=place_id:ChIJD7B7TJTD5zsRXvgCTXcxMCU" TargetMode="External"/><Relationship Id="rId176" Type="http://schemas.openxmlformats.org/officeDocument/2006/relationships/hyperlink" Target="https://www.google.com/maps/place/?q=place_id:ChIJJZk1RTnB5zsRvAb8wUAnu78" TargetMode="External"/><Relationship Id="rId297" Type="http://schemas.openxmlformats.org/officeDocument/2006/relationships/hyperlink" Target="https://urbangymnation.com" TargetMode="External"/><Relationship Id="rId36" Type="http://schemas.openxmlformats.org/officeDocument/2006/relationships/hyperlink" Target="https://www.facebook.com/oneabovefitness/" TargetMode="External"/><Relationship Id="rId175" Type="http://schemas.openxmlformats.org/officeDocument/2006/relationships/hyperlink" Target="https://www.google.com/maps/place/?q=place_id:ChIJUeUCOWfB5zsRnLsJhjdz7_Y" TargetMode="External"/><Relationship Id="rId296" Type="http://schemas.openxmlformats.org/officeDocument/2006/relationships/hyperlink" Target="https://www.google.com/maps/place/?q=place_id:ChIJi4q3sfrD5zsRTXuVg-SRg7M" TargetMode="External"/><Relationship Id="rId39" Type="http://schemas.openxmlformats.org/officeDocument/2006/relationships/hyperlink" Target="https://www.instagram.com/tungstenfitnessclub/" TargetMode="External"/><Relationship Id="rId174" Type="http://schemas.openxmlformats.org/officeDocument/2006/relationships/hyperlink" Target="https://www.google.com/maps/place/?q=place_id:ChIJ0U9ovqTB5zsR0cSyOZjdQ3I" TargetMode="External"/><Relationship Id="rId295" Type="http://schemas.openxmlformats.org/officeDocument/2006/relationships/hyperlink" Target="https://www.instagram.com/fit2fit_healthfitnessclub/" TargetMode="External"/><Relationship Id="rId38" Type="http://schemas.openxmlformats.org/officeDocument/2006/relationships/hyperlink" Target="https://tungstenfitness.in/" TargetMode="External"/><Relationship Id="rId173" Type="http://schemas.openxmlformats.org/officeDocument/2006/relationships/hyperlink" Target="https://www.google.com/maps/place/?q=place_id:ChIJzTd_1CTH5zsRbDgVaDS17bQ" TargetMode="External"/><Relationship Id="rId294" Type="http://schemas.openxmlformats.org/officeDocument/2006/relationships/hyperlink" Target="https://www.google.com/maps/place/?q=place_id:ChIJH-oj0ODp5zsRmZUzCGwlQMU" TargetMode="External"/><Relationship Id="rId179" Type="http://schemas.openxmlformats.org/officeDocument/2006/relationships/hyperlink" Target="https://www.facebook.com/mpsfitnessworld" TargetMode="External"/><Relationship Id="rId178" Type="http://schemas.openxmlformats.org/officeDocument/2006/relationships/hyperlink" Target="https://www.instagram.com/mps_fitness_world/" TargetMode="External"/><Relationship Id="rId299" Type="http://schemas.openxmlformats.org/officeDocument/2006/relationships/hyperlink" Target="https://www.facebook.com/urbangymnation/" TargetMode="External"/><Relationship Id="rId177" Type="http://schemas.openxmlformats.org/officeDocument/2006/relationships/hyperlink" Target="https://www.google.com/maps/place/?q=place_id:ChIJc2rKzUbB5zsRMnlwWOXt3YE" TargetMode="External"/><Relationship Id="rId298" Type="http://schemas.openxmlformats.org/officeDocument/2006/relationships/hyperlink" Target="https://www.instagram.com/urbangymnation/" TargetMode="External"/><Relationship Id="rId20" Type="http://schemas.openxmlformats.org/officeDocument/2006/relationships/hyperlink" Target="https://www.facebook.com/crossboxfitness/" TargetMode="External"/><Relationship Id="rId22" Type="http://schemas.openxmlformats.org/officeDocument/2006/relationships/hyperlink" Target="https://www.instagram.com/intensefitnessclub/" TargetMode="External"/><Relationship Id="rId21" Type="http://schemas.openxmlformats.org/officeDocument/2006/relationships/hyperlink" Target="https://www.google.com/maps/place/?q=place_id:ChIJE2g-4knB5zsR3N3xQNJQfKw" TargetMode="External"/><Relationship Id="rId24" Type="http://schemas.openxmlformats.org/officeDocument/2006/relationships/hyperlink" Target="https://www.google.com/maps/place/?q=place_id:ChIJY2hQkjTB5zsRHAwrydyUfwQ" TargetMode="External"/><Relationship Id="rId23" Type="http://schemas.openxmlformats.org/officeDocument/2006/relationships/hyperlink" Target="https://www.facebook.com/intensefitnessclub/" TargetMode="External"/><Relationship Id="rId26" Type="http://schemas.openxmlformats.org/officeDocument/2006/relationships/hyperlink" Target="https://www.facebook.com/mustangsfitnesscentre/" TargetMode="External"/><Relationship Id="rId25" Type="http://schemas.openxmlformats.org/officeDocument/2006/relationships/hyperlink" Target="https://www.instagram.com/mustangsfitnesscentre/" TargetMode="External"/><Relationship Id="rId28" Type="http://schemas.openxmlformats.org/officeDocument/2006/relationships/hyperlink" Target="https://www.instagram.com/ragnorfitness/" TargetMode="External"/><Relationship Id="rId27" Type="http://schemas.openxmlformats.org/officeDocument/2006/relationships/hyperlink" Target="https://www.google.com/maps/place/?q=place_id:ChIJDdLEj37B5zsRQtOZXyj14MU" TargetMode="External"/><Relationship Id="rId29" Type="http://schemas.openxmlformats.org/officeDocument/2006/relationships/hyperlink" Target="https://www.facebook.com/ragnorfitness/" TargetMode="External"/><Relationship Id="rId11" Type="http://schemas.openxmlformats.org/officeDocument/2006/relationships/hyperlink" Target="https://www.instagram.com/tungstenfitnessclub/" TargetMode="External"/><Relationship Id="rId10" Type="http://schemas.openxmlformats.org/officeDocument/2006/relationships/hyperlink" Target="https://tungstenfitnessclub.com/" TargetMode="External"/><Relationship Id="rId13" Type="http://schemas.openxmlformats.org/officeDocument/2006/relationships/hyperlink" Target="https://www.google.com/maps/place/?q=place_id:ChIJ9flM1qzp5zsRY151CC6z8II" TargetMode="External"/><Relationship Id="rId12" Type="http://schemas.openxmlformats.org/officeDocument/2006/relationships/hyperlink" Target="https://www.facebook.com/tungstenfitnessclub/" TargetMode="External"/><Relationship Id="rId15" Type="http://schemas.openxmlformats.org/officeDocument/2006/relationships/hyperlink" Target="https://www.instagram.com/zenxfit/" TargetMode="External"/><Relationship Id="rId198" Type="http://schemas.openxmlformats.org/officeDocument/2006/relationships/hyperlink" Target="https://www.mustangsfitness.com" TargetMode="External"/><Relationship Id="rId14" Type="http://schemas.openxmlformats.org/officeDocument/2006/relationships/hyperlink" Target="https://zenxfit.in/" TargetMode="External"/><Relationship Id="rId197" Type="http://schemas.openxmlformats.org/officeDocument/2006/relationships/hyperlink" Target="https://www.google.com/maps/place/?q=place_id:ChIJjYPsS7_B5zsRVtWebebFobA" TargetMode="External"/><Relationship Id="rId17" Type="http://schemas.openxmlformats.org/officeDocument/2006/relationships/hyperlink" Target="https://www.google.com/maps/place/?q=place_id:ChIJuRR9kRLB5zsRdgJoKfV6BTU" TargetMode="External"/><Relationship Id="rId196" Type="http://schemas.openxmlformats.org/officeDocument/2006/relationships/hyperlink" Target="https://www.instagram.com/metabolicfitness_sanpada/" TargetMode="External"/><Relationship Id="rId16" Type="http://schemas.openxmlformats.org/officeDocument/2006/relationships/hyperlink" Target="https://www.google.com/maps/place/?q=place_id:ChIJd5fmQDHB5zsRxEfVDyJjtYI" TargetMode="External"/><Relationship Id="rId195" Type="http://schemas.openxmlformats.org/officeDocument/2006/relationships/hyperlink" Target="https://www.google.com/maps/place/?q=place_id:ChIJCwOl9wjB5zsRTavGVG0Fsxc" TargetMode="External"/><Relationship Id="rId19" Type="http://schemas.openxmlformats.org/officeDocument/2006/relationships/hyperlink" Target="https://www.instagram.com/crossboxfitness/" TargetMode="External"/><Relationship Id="rId18" Type="http://schemas.openxmlformats.org/officeDocument/2006/relationships/hyperlink" Target="https://crossboxfitness.in/" TargetMode="External"/><Relationship Id="rId199" Type="http://schemas.openxmlformats.org/officeDocument/2006/relationships/hyperlink" Target="https://www.instagram.com/mustangsfitnesscentre/" TargetMode="External"/><Relationship Id="rId84" Type="http://schemas.openxmlformats.org/officeDocument/2006/relationships/hyperlink" Target="https://www.google.com/maps/place/?q=place_id:ChIJZSnPE_jD5zsRsALyNTxE2Io" TargetMode="External"/><Relationship Id="rId83" Type="http://schemas.openxmlformats.org/officeDocument/2006/relationships/hyperlink" Target="https://www.facebook.com/zarasfitness/" TargetMode="External"/><Relationship Id="rId86" Type="http://schemas.openxmlformats.org/officeDocument/2006/relationships/hyperlink" Target="https://www.facebook.com/sharkfitnesskharghar/" TargetMode="External"/><Relationship Id="rId85" Type="http://schemas.openxmlformats.org/officeDocument/2006/relationships/hyperlink" Target="https://www.instagram.com/sharkfitnesskharghar/" TargetMode="External"/><Relationship Id="rId88" Type="http://schemas.openxmlformats.org/officeDocument/2006/relationships/hyperlink" Target="https://www.instagram.com/revampfitnesskharghar/" TargetMode="External"/><Relationship Id="rId150" Type="http://schemas.openxmlformats.org/officeDocument/2006/relationships/hyperlink" Target="https://www.google.com/maps/place/?q=place_id:ChIJATiu_GnB5zsRe5cuQL4smlw" TargetMode="External"/><Relationship Id="rId271" Type="http://schemas.openxmlformats.org/officeDocument/2006/relationships/hyperlink" Target="https://www.google.com/maps/place/?q=place_id:ChIJB69rRIfp5zsRTHp4bnvmWJY" TargetMode="External"/><Relationship Id="rId87" Type="http://schemas.openxmlformats.org/officeDocument/2006/relationships/hyperlink" Target="https://www.google.com/maps/place/?q=place_id:ChIJTfLYGgnD5zsR18cYIlK3lb4" TargetMode="External"/><Relationship Id="rId270" Type="http://schemas.openxmlformats.org/officeDocument/2006/relationships/hyperlink" Target="https://www.google.com/maps/place/?q=place_id:ChIJrdiWqozp5zsRhVECcYVMzqM" TargetMode="External"/><Relationship Id="rId89" Type="http://schemas.openxmlformats.org/officeDocument/2006/relationships/hyperlink" Target="https://www.facebook.com/revampfitnesskharghar/" TargetMode="External"/><Relationship Id="rId80" Type="http://schemas.openxmlformats.org/officeDocument/2006/relationships/hyperlink" Target="https://www.facebook.com/forlifefitness24x7/" TargetMode="External"/><Relationship Id="rId82" Type="http://schemas.openxmlformats.org/officeDocument/2006/relationships/hyperlink" Target="https://www.instagram.com/zarasfitness/" TargetMode="External"/><Relationship Id="rId81" Type="http://schemas.openxmlformats.org/officeDocument/2006/relationships/hyperlink" Target="https://www.google.com/maps/place/?q=place_id:ChIJZXSKDdTD5zsRLX7AuGvEcbo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google.com/maps/place/?q=place_id:ChIJRa3DCunB5zsRoexUMQbO5T8" TargetMode="External"/><Relationship Id="rId3" Type="http://schemas.openxmlformats.org/officeDocument/2006/relationships/hyperlink" Target="https://www.kenzofitness.co.in/" TargetMode="External"/><Relationship Id="rId149" Type="http://schemas.openxmlformats.org/officeDocument/2006/relationships/hyperlink" Target="https://www.google.com/maps/place/?q=place_id:ChIJGXdQ4IvB5zsRe8oDfKF0Syg" TargetMode="External"/><Relationship Id="rId4" Type="http://schemas.openxmlformats.org/officeDocument/2006/relationships/hyperlink" Target="https://www.instagram.com/kenzofitnessindia/" TargetMode="External"/><Relationship Id="rId148" Type="http://schemas.openxmlformats.org/officeDocument/2006/relationships/hyperlink" Target="https://www.google.com/maps/place/?q=place_id:ChIJR1x-cBTB5zsRohUhp5FGBp4" TargetMode="External"/><Relationship Id="rId269" Type="http://schemas.openxmlformats.org/officeDocument/2006/relationships/hyperlink" Target="https://www.google.com/maps/place/?q=place_id:ChIJLU3gn2Xp5zsRLBiGwmP4IQo" TargetMode="External"/><Relationship Id="rId9" Type="http://schemas.openxmlformats.org/officeDocument/2006/relationships/hyperlink" Target="https://www.google.com/maps/place/?q=place_id:ChIJlYLQSZ7B5zsRApygL4U2J50" TargetMode="External"/><Relationship Id="rId143" Type="http://schemas.openxmlformats.org/officeDocument/2006/relationships/hyperlink" Target="https://www.google.com/maps/place/?q=place_id:ChIJUwOu4OK_5zsR1nnszaTg4TQ" TargetMode="External"/><Relationship Id="rId264" Type="http://schemas.openxmlformats.org/officeDocument/2006/relationships/hyperlink" Target="https://www.facebook.com/fitnessclubstudio" TargetMode="External"/><Relationship Id="rId142" Type="http://schemas.openxmlformats.org/officeDocument/2006/relationships/hyperlink" Target="https://www.google.com/maps/place/?q=place_id:ChIJxd4qikm_5zsRD5ctkHeL3y0" TargetMode="External"/><Relationship Id="rId263" Type="http://schemas.openxmlformats.org/officeDocument/2006/relationships/hyperlink" Target="https://www.instagram.com/fitnessclubstudio/" TargetMode="External"/><Relationship Id="rId141" Type="http://schemas.openxmlformats.org/officeDocument/2006/relationships/hyperlink" Target="https://www.facebook.com/hardcoregymrabale/" TargetMode="External"/><Relationship Id="rId262" Type="http://schemas.openxmlformats.org/officeDocument/2006/relationships/hyperlink" Target="https://www.fitnessclubstudio.in" TargetMode="External"/><Relationship Id="rId140" Type="http://schemas.openxmlformats.org/officeDocument/2006/relationships/hyperlink" Target="https://www.instagram.com/hardcoregym_rabale/" TargetMode="External"/><Relationship Id="rId261" Type="http://schemas.openxmlformats.org/officeDocument/2006/relationships/hyperlink" Target="https://www.google.com/maps/place/?q=place_id:ChIJ3xuUSzzp5zsRze4dd6hvKT4" TargetMode="External"/><Relationship Id="rId5" Type="http://schemas.openxmlformats.org/officeDocument/2006/relationships/hyperlink" Target="https://www.facebook.com/kenzofitnessindia/" TargetMode="External"/><Relationship Id="rId147" Type="http://schemas.openxmlformats.org/officeDocument/2006/relationships/hyperlink" Target="https://www.google.com/maps/place/?q=place_id:ChIJ4doTmtfA5zsRG5Igra8Bk10" TargetMode="External"/><Relationship Id="rId268" Type="http://schemas.openxmlformats.org/officeDocument/2006/relationships/hyperlink" Target="https://www.google.com/maps/place/?q=place_id:ChIJYWomcwjp5zsRvdIJhwLt6nI" TargetMode="External"/><Relationship Id="rId6" Type="http://schemas.openxmlformats.org/officeDocument/2006/relationships/hyperlink" Target="https://www.google.com/maps/place/?q=place_id:ChIJPUki99zB5zsR8aHLAUEdz0A" TargetMode="External"/><Relationship Id="rId146" Type="http://schemas.openxmlformats.org/officeDocument/2006/relationships/hyperlink" Target="https://www.google.com/maps/place/?q=place_id:ChIJX3bWrnPB5zsRG-XRg5j3JGU" TargetMode="External"/><Relationship Id="rId267" Type="http://schemas.openxmlformats.org/officeDocument/2006/relationships/hyperlink" Target="https://www.facebook.com/ragnorfitness/" TargetMode="External"/><Relationship Id="rId7" Type="http://schemas.openxmlformats.org/officeDocument/2006/relationships/hyperlink" Target="https://www.instagram.com/ragnorfitness/" TargetMode="External"/><Relationship Id="rId145" Type="http://schemas.openxmlformats.org/officeDocument/2006/relationships/hyperlink" Target="https://www.google.com/maps/place/?q=place_id:ChIJxdfOmLjB5zsR6auRL6HA5L4" TargetMode="External"/><Relationship Id="rId266" Type="http://schemas.openxmlformats.org/officeDocument/2006/relationships/hyperlink" Target="https://www.instagram.com/ragnorfitness/" TargetMode="External"/><Relationship Id="rId8" Type="http://schemas.openxmlformats.org/officeDocument/2006/relationships/hyperlink" Target="https://www.facebook.com/ragnorfitness/" TargetMode="External"/><Relationship Id="rId144" Type="http://schemas.openxmlformats.org/officeDocument/2006/relationships/hyperlink" Target="https://www.google.com/maps/place/?q=place_id:ChIJowgUJwDB5zsRXu00-iF67-Y" TargetMode="External"/><Relationship Id="rId265" Type="http://schemas.openxmlformats.org/officeDocument/2006/relationships/hyperlink" Target="https://www.google.com/maps/place/?q=place_id:ChIJnc68caPp5zsRmWfnls9rfTs" TargetMode="External"/><Relationship Id="rId73" Type="http://schemas.openxmlformats.org/officeDocument/2006/relationships/hyperlink" Target="https://www.instagram.com/cultfitofficial/" TargetMode="External"/><Relationship Id="rId72" Type="http://schemas.openxmlformats.org/officeDocument/2006/relationships/hyperlink" Target="https://www.cult.fit/fitness/centers/body-power-kharghar" TargetMode="External"/><Relationship Id="rId75" Type="http://schemas.openxmlformats.org/officeDocument/2006/relationships/hyperlink" Target="https://www.google.com/maps/place/?q=place_id:ChIJwazG-erD5zsR5CUOaenen0o" TargetMode="External"/><Relationship Id="rId74" Type="http://schemas.openxmlformats.org/officeDocument/2006/relationships/hyperlink" Target="https://www.facebook.com/cultfitofficial/" TargetMode="External"/><Relationship Id="rId77" Type="http://schemas.openxmlformats.org/officeDocument/2006/relationships/hyperlink" Target="https://www.facebook.com/ragnorfitness/" TargetMode="External"/><Relationship Id="rId260" Type="http://schemas.openxmlformats.org/officeDocument/2006/relationships/hyperlink" Target="https://www.google.com/maps/place/?q=place_id:ChIJJ-o-vDbp5zsRjF1C3DWl2gU" TargetMode="External"/><Relationship Id="rId76" Type="http://schemas.openxmlformats.org/officeDocument/2006/relationships/hyperlink" Target="https://www.instagram.com/ragnorfitness/" TargetMode="External"/><Relationship Id="rId79" Type="http://schemas.openxmlformats.org/officeDocument/2006/relationships/hyperlink" Target="https://www.instagram.com/forlifefitness24x7/" TargetMode="External"/><Relationship Id="rId78" Type="http://schemas.openxmlformats.org/officeDocument/2006/relationships/hyperlink" Target="https://www.google.com/maps/place/?q=place_id:ChIJFyaSqPjB5zsRKqYnQztKruY" TargetMode="External"/><Relationship Id="rId71" Type="http://schemas.openxmlformats.org/officeDocument/2006/relationships/hyperlink" Target="https://www.google.com/maps/place/?q=place_id:ChIJ7aQUWnXD5zsRtfplTvXQeJo" TargetMode="External"/><Relationship Id="rId70" Type="http://schemas.openxmlformats.org/officeDocument/2006/relationships/hyperlink" Target="https://www.facebook.com/traance.fit/" TargetMode="External"/><Relationship Id="rId139" Type="http://schemas.openxmlformats.org/officeDocument/2006/relationships/hyperlink" Target="https://hardcoregym.in/" TargetMode="External"/><Relationship Id="rId138" Type="http://schemas.openxmlformats.org/officeDocument/2006/relationships/hyperlink" Target="https://www.google.com/maps/place/?q=place_id:ChIJRdp3Y1e_5zsRWZEaUquJDLk" TargetMode="External"/><Relationship Id="rId259" Type="http://schemas.openxmlformats.org/officeDocument/2006/relationships/hyperlink" Target="https://www.google.com/maps/place/?q=place_id:ChIJxXfERCTp5zsRd1GSyJxiMcg" TargetMode="External"/><Relationship Id="rId137" Type="http://schemas.openxmlformats.org/officeDocument/2006/relationships/hyperlink" Target="https://www.facebook.com/rajeshhealthclub/" TargetMode="External"/><Relationship Id="rId258" Type="http://schemas.openxmlformats.org/officeDocument/2006/relationships/hyperlink" Target="https://www.google.com/maps/place/?q=place_id:ChIJPQ6KUCnp5zsRc9vD0cetmTA" TargetMode="External"/><Relationship Id="rId132" Type="http://schemas.openxmlformats.org/officeDocument/2006/relationships/hyperlink" Target="https://www.google.com/maps/place/?q=place_id:ChIJTz1Ql9m55zsRItQ786Pcb5E" TargetMode="External"/><Relationship Id="rId253" Type="http://schemas.openxmlformats.org/officeDocument/2006/relationships/hyperlink" Target="https://www.facebook.com/taisofitness/" TargetMode="External"/><Relationship Id="rId131" Type="http://schemas.openxmlformats.org/officeDocument/2006/relationships/hyperlink" Target="https://www.facebook.com/pumpandpulsefitness/" TargetMode="External"/><Relationship Id="rId252" Type="http://schemas.openxmlformats.org/officeDocument/2006/relationships/hyperlink" Target="https://www.instagram.com/taisofitness/" TargetMode="External"/><Relationship Id="rId130" Type="http://schemas.openxmlformats.org/officeDocument/2006/relationships/hyperlink" Target="https://www.instagram.com/pumpandpulsefitness/" TargetMode="External"/><Relationship Id="rId251" Type="http://schemas.openxmlformats.org/officeDocument/2006/relationships/hyperlink" Target="https://taisoindia.com/gym-in-panvel.html" TargetMode="External"/><Relationship Id="rId250" Type="http://schemas.openxmlformats.org/officeDocument/2006/relationships/hyperlink" Target="https://www.google.com/maps/place/?q=place_id:ChIJrxt63Ajp5zsRXjzuKE9RMp4" TargetMode="External"/><Relationship Id="rId136" Type="http://schemas.openxmlformats.org/officeDocument/2006/relationships/hyperlink" Target="https://www.instagram.com/rajeshhealthclub/" TargetMode="External"/><Relationship Id="rId257" Type="http://schemas.openxmlformats.org/officeDocument/2006/relationships/hyperlink" Target="https://www.google.com/maps/place/?q=place_id:ChIJFzZ-_iLp5zsRloH51-xeKpA" TargetMode="External"/><Relationship Id="rId135" Type="http://schemas.openxmlformats.org/officeDocument/2006/relationships/hyperlink" Target="https://www.google.com/maps/place/?q=place_id:ChIJV8IjPUq_5zsRzMb1lKsPQKw" TargetMode="External"/><Relationship Id="rId256" Type="http://schemas.openxmlformats.org/officeDocument/2006/relationships/hyperlink" Target="https://www.google.com/maps/place/?q=place_id:ChIJp4Sz-1vp5zsRhcjud-tOKkI" TargetMode="External"/><Relationship Id="rId134" Type="http://schemas.openxmlformats.org/officeDocument/2006/relationships/hyperlink" Target="https://www.facebook.com/bodyvisionfitnessairoli/" TargetMode="External"/><Relationship Id="rId255" Type="http://schemas.openxmlformats.org/officeDocument/2006/relationships/hyperlink" Target="https://www.google.com/maps/place/?q=place_id:ChIJ2ZiBdPzp5zsRQIhWDgtAQOg" TargetMode="External"/><Relationship Id="rId133" Type="http://schemas.openxmlformats.org/officeDocument/2006/relationships/hyperlink" Target="https://www.instagram.com/bodyvisionfitnessairoli/" TargetMode="External"/><Relationship Id="rId254" Type="http://schemas.openxmlformats.org/officeDocument/2006/relationships/hyperlink" Target="https://www.google.com/maps/place/?q=place_id:ChIJhcwg5Q_p5zsRAsHn9Zac3G0" TargetMode="External"/><Relationship Id="rId62" Type="http://schemas.openxmlformats.org/officeDocument/2006/relationships/hyperlink" Target="https://www.facebook.com/shredxfitness/" TargetMode="External"/><Relationship Id="rId61" Type="http://schemas.openxmlformats.org/officeDocument/2006/relationships/hyperlink" Target="https://www.instagram.com/shredxfitness/" TargetMode="External"/><Relationship Id="rId64" Type="http://schemas.openxmlformats.org/officeDocument/2006/relationships/hyperlink" Target="https://coregym.co.in/?utm_source=chatgpt.com" TargetMode="External"/><Relationship Id="rId63" Type="http://schemas.openxmlformats.org/officeDocument/2006/relationships/hyperlink" Target="https://www.google.com/maps/place/?q=place_id:ChIJJ07Q_H3D5zsRgsu7ZIP0rec" TargetMode="External"/><Relationship Id="rId66" Type="http://schemas.openxmlformats.org/officeDocument/2006/relationships/hyperlink" Target="https://www.facebook.com/coregymindia/" TargetMode="External"/><Relationship Id="rId172" Type="http://schemas.openxmlformats.org/officeDocument/2006/relationships/hyperlink" Target="https://www.google.com/maps/place/?q=place_id:ChIJISHA4R3B5zsRGFhKfyr3Fi8" TargetMode="External"/><Relationship Id="rId293" Type="http://schemas.openxmlformats.org/officeDocument/2006/relationships/hyperlink" Target="https://www.instagram.com/royalfitness_kalamboli/" TargetMode="External"/><Relationship Id="rId65" Type="http://schemas.openxmlformats.org/officeDocument/2006/relationships/hyperlink" Target="https://www.instagram.com/coregymindia/" TargetMode="External"/><Relationship Id="rId171" Type="http://schemas.openxmlformats.org/officeDocument/2006/relationships/hyperlink" Target="https://www.google.com/maps/place/?q=place_id:ChIJG0x9Ff_B5zsRqjrUGSQhyQc" TargetMode="External"/><Relationship Id="rId292" Type="http://schemas.openxmlformats.org/officeDocument/2006/relationships/hyperlink" Target="https://www.google.com/maps/place/?q=place_id:ChIJy-OnGs_p5zsRN0b4UKDdZDw" TargetMode="External"/><Relationship Id="rId68" Type="http://schemas.openxmlformats.org/officeDocument/2006/relationships/hyperlink" Target="https://traance.fit/" TargetMode="External"/><Relationship Id="rId170" Type="http://schemas.openxmlformats.org/officeDocument/2006/relationships/hyperlink" Target="https://www.google.com/maps/place/?q=place_id:ChIJzytmFQDB5zsRT65E9N6D52U" TargetMode="External"/><Relationship Id="rId291" Type="http://schemas.openxmlformats.org/officeDocument/2006/relationships/hyperlink" Target="https://www.facebook.com/malharfitnessstudio/" TargetMode="External"/><Relationship Id="rId67" Type="http://schemas.openxmlformats.org/officeDocument/2006/relationships/hyperlink" Target="https://www.google.com/maps/place/?q=place_id:ChIJzUFViOTD5zsRBqfbuu2f6TE" TargetMode="External"/><Relationship Id="rId290" Type="http://schemas.openxmlformats.org/officeDocument/2006/relationships/hyperlink" Target="https://www.instagram.com/malharfitnessstudio/" TargetMode="External"/><Relationship Id="rId60" Type="http://schemas.openxmlformats.org/officeDocument/2006/relationships/hyperlink" Target="https://www.google.com/maps/place/?q=place_id:ChIJBWAwQe7D5zsRYQLyaH3jazA" TargetMode="External"/><Relationship Id="rId165" Type="http://schemas.openxmlformats.org/officeDocument/2006/relationships/hyperlink" Target="https://www.facebook.com/regenfitness21/" TargetMode="External"/><Relationship Id="rId286" Type="http://schemas.openxmlformats.org/officeDocument/2006/relationships/hyperlink" Target="https://www.instagram.com/thefieldkalamboli/" TargetMode="External"/><Relationship Id="rId69" Type="http://schemas.openxmlformats.org/officeDocument/2006/relationships/hyperlink" Target="https://www.instagram.com/traance.fit/" TargetMode="External"/><Relationship Id="rId164" Type="http://schemas.openxmlformats.org/officeDocument/2006/relationships/hyperlink" Target="https://www.instagram.com/regenfitness21/" TargetMode="External"/><Relationship Id="rId285" Type="http://schemas.openxmlformats.org/officeDocument/2006/relationships/hyperlink" Target="https://www.google.com/maps/place/?q=place_id:ChIJ-6o65mfp5zsRZsod4LrHq2g" TargetMode="External"/><Relationship Id="rId163" Type="http://schemas.openxmlformats.org/officeDocument/2006/relationships/hyperlink" Target="https://www.google.com/maps/place/?q=place_id:ChIJiUwsd3rB5zsRjPhJLimncv4" TargetMode="External"/><Relationship Id="rId284" Type="http://schemas.openxmlformats.org/officeDocument/2006/relationships/hyperlink" Target="https://www.facebook.com/reborngymkalamboli/" TargetMode="External"/><Relationship Id="rId162" Type="http://schemas.openxmlformats.org/officeDocument/2006/relationships/hyperlink" Target="https://www.facebook.com/kenzofitnessindia/" TargetMode="External"/><Relationship Id="rId283" Type="http://schemas.openxmlformats.org/officeDocument/2006/relationships/hyperlink" Target="https://www.instagram.com/reborngym_kalamboli/" TargetMode="External"/><Relationship Id="rId169" Type="http://schemas.openxmlformats.org/officeDocument/2006/relationships/hyperlink" Target="https://www.facebook.com/onelifefitnesshub" TargetMode="External"/><Relationship Id="rId168" Type="http://schemas.openxmlformats.org/officeDocument/2006/relationships/hyperlink" Target="http://onelifefitnesshub.com" TargetMode="External"/><Relationship Id="rId289" Type="http://schemas.openxmlformats.org/officeDocument/2006/relationships/hyperlink" Target="https://www.google.com/maps/place/?q=place_id:ChIJ5UxooIzp5zsRtoZokU63-NA" TargetMode="External"/><Relationship Id="rId167" Type="http://schemas.openxmlformats.org/officeDocument/2006/relationships/hyperlink" Target="https://www.google.com/maps/place/?q=place_id:ChIJibV45MXA5zsRmV6IpFkesWM" TargetMode="External"/><Relationship Id="rId288" Type="http://schemas.openxmlformats.org/officeDocument/2006/relationships/hyperlink" Target="https://www.instagram.com/forcefitnessgym/" TargetMode="External"/><Relationship Id="rId166" Type="http://schemas.openxmlformats.org/officeDocument/2006/relationships/hyperlink" Target="https://www.google.com/maps/place/?q=place_id:ChIJ3YoCpFzH5zsRFllyDZb30BI" TargetMode="External"/><Relationship Id="rId287" Type="http://schemas.openxmlformats.org/officeDocument/2006/relationships/hyperlink" Target="https://www.google.com/maps/place/?q=place_id:ChIJbXQSKcTp5zsRDQtz5UGdq5s" TargetMode="External"/><Relationship Id="rId51" Type="http://schemas.openxmlformats.org/officeDocument/2006/relationships/hyperlink" Target="https://www.instagram.com/vulkanhealthclub/" TargetMode="External"/><Relationship Id="rId50" Type="http://schemas.openxmlformats.org/officeDocument/2006/relationships/hyperlink" Target="https://www.google.com/maps/place/?q=place_id:ChIJ94Tn6-nD5zsRaKRMT_gBNiY" TargetMode="External"/><Relationship Id="rId53" Type="http://schemas.openxmlformats.org/officeDocument/2006/relationships/hyperlink" Target="https://www.google.com/maps/place/?q=place_id:ChIJ1xzHpjrD5zsRNP8iVooisnU" TargetMode="External"/><Relationship Id="rId52" Type="http://schemas.openxmlformats.org/officeDocument/2006/relationships/hyperlink" Target="https://www.facebook.com/vulkanhealthclub/" TargetMode="External"/><Relationship Id="rId55" Type="http://schemas.openxmlformats.org/officeDocument/2006/relationships/hyperlink" Target="https://www.facebook.com/akhadafitnesszone/" TargetMode="External"/><Relationship Id="rId161" Type="http://schemas.openxmlformats.org/officeDocument/2006/relationships/hyperlink" Target="https://www.instagram.com/kenzofitnessindia/" TargetMode="External"/><Relationship Id="rId282" Type="http://schemas.openxmlformats.org/officeDocument/2006/relationships/hyperlink" Target="https://www.google.com/maps/place/?q=place_id:ChIJB2lhT7jp5zsRf_CxG67-lbY" TargetMode="External"/><Relationship Id="rId54" Type="http://schemas.openxmlformats.org/officeDocument/2006/relationships/hyperlink" Target="https://www.instagram.com/akhadafitnesszone/" TargetMode="External"/><Relationship Id="rId160" Type="http://schemas.openxmlformats.org/officeDocument/2006/relationships/hyperlink" Target="https://www.kenzofitness.co.in/" TargetMode="External"/><Relationship Id="rId281" Type="http://schemas.openxmlformats.org/officeDocument/2006/relationships/hyperlink" Target="https://www.facebook.com/fitnessiumgym/" TargetMode="External"/><Relationship Id="rId57" Type="http://schemas.openxmlformats.org/officeDocument/2006/relationships/hyperlink" Target="https://www.google.com/maps/place/?q=place_id:ChIJa-lDh6HB5zsRBsOFyckSv0Q" TargetMode="External"/><Relationship Id="rId280" Type="http://schemas.openxmlformats.org/officeDocument/2006/relationships/hyperlink" Target="https://www.instagram.com/fitnessium_gym/" TargetMode="External"/><Relationship Id="rId56" Type="http://schemas.openxmlformats.org/officeDocument/2006/relationships/hyperlink" Target="https://www.google.com/maps/place/?q=place_id:ChIJQ8i44BbD5zsRGOv9keZMD2c" TargetMode="External"/><Relationship Id="rId159" Type="http://schemas.openxmlformats.org/officeDocument/2006/relationships/hyperlink" Target="https://www.google.com/maps/place/?q=place_id:ChIJX1bePaPH5zsR9QPs1j9OXWA" TargetMode="External"/><Relationship Id="rId59" Type="http://schemas.openxmlformats.org/officeDocument/2006/relationships/hyperlink" Target="https://www.facebook.com/tornadofitness24x7/" TargetMode="External"/><Relationship Id="rId154" Type="http://schemas.openxmlformats.org/officeDocument/2006/relationships/hyperlink" Target="https://www.google.com/maps/place/?q=place_id:ChIJvVBR1d_B5zsReewVWFxosn0" TargetMode="External"/><Relationship Id="rId275" Type="http://schemas.openxmlformats.org/officeDocument/2006/relationships/hyperlink" Target="https://www.google.com/maps/place/?q=place_id:ChIJz6pH6YTp5zsRRV1svcOTHhg" TargetMode="External"/><Relationship Id="rId58" Type="http://schemas.openxmlformats.org/officeDocument/2006/relationships/hyperlink" Target="https://www.instagram.com/tornadofitness24x7/" TargetMode="External"/><Relationship Id="rId153" Type="http://schemas.openxmlformats.org/officeDocument/2006/relationships/hyperlink" Target="https://www.google.com/maps/place/?q=place_id:ChIJRRaJztrA5zsRy5L2jnQnAQw" TargetMode="External"/><Relationship Id="rId274" Type="http://schemas.openxmlformats.org/officeDocument/2006/relationships/hyperlink" Target="https://www.google.com/maps/place/?q=place_id:ChIJ5cvkI4Hp5zsRVr3PY8-ZFH0" TargetMode="External"/><Relationship Id="rId152" Type="http://schemas.openxmlformats.org/officeDocument/2006/relationships/hyperlink" Target="https://www.google.com/maps/place/?q=place_id:ChIJ9eu3njPB5zsRJWeEAB6WyVM" TargetMode="External"/><Relationship Id="rId273" Type="http://schemas.openxmlformats.org/officeDocument/2006/relationships/hyperlink" Target="https://www.google.com/maps/place/?q=place_id:ChIJ4bCKehjp5zsRSLz6-ltsrWo" TargetMode="External"/><Relationship Id="rId151" Type="http://schemas.openxmlformats.org/officeDocument/2006/relationships/hyperlink" Target="https://www.google.com/maps/place/?q=place_id:ChIJN18Mv_rB5zsRmiF8cpGVDzg" TargetMode="External"/><Relationship Id="rId272" Type="http://schemas.openxmlformats.org/officeDocument/2006/relationships/hyperlink" Target="https://www.google.com/maps/place/?q=place_id:ChIJVVXFrNbp5zsR6oEozc5ZajU" TargetMode="External"/><Relationship Id="rId158" Type="http://schemas.openxmlformats.org/officeDocument/2006/relationships/hyperlink" Target="https://www.facebook.com/flexfiregym/" TargetMode="External"/><Relationship Id="rId279" Type="http://schemas.openxmlformats.org/officeDocument/2006/relationships/hyperlink" Target="https://www.google.com/maps/place/?q=place_id:ChIJJy-GPEno5zsRS363w7QVr_8" TargetMode="External"/><Relationship Id="rId157" Type="http://schemas.openxmlformats.org/officeDocument/2006/relationships/hyperlink" Target="https://www.instagram.com/flexfiregym/" TargetMode="External"/><Relationship Id="rId278" Type="http://schemas.openxmlformats.org/officeDocument/2006/relationships/hyperlink" Target="https://www.facebook.com/forlifefitness24x7/" TargetMode="External"/><Relationship Id="rId156" Type="http://schemas.openxmlformats.org/officeDocument/2006/relationships/hyperlink" Target="https://www.flexfiregym.in/?utm_source=chatgpt.com" TargetMode="External"/><Relationship Id="rId277" Type="http://schemas.openxmlformats.org/officeDocument/2006/relationships/hyperlink" Target="https://www.instagram.com/forlifefitness24x7/" TargetMode="External"/><Relationship Id="rId155" Type="http://schemas.openxmlformats.org/officeDocument/2006/relationships/hyperlink" Target="https://www.google.com/maps/place/?q=place_id:ChIJm6BumirH5zsRcP8Eqymoe6U" TargetMode="External"/><Relationship Id="rId276" Type="http://schemas.openxmlformats.org/officeDocument/2006/relationships/hyperlink" Target="https://www.google.com/maps/place/?q=place_id:ChIJjQxUagDp5zsRrrQyEki_C_A" TargetMode="External"/><Relationship Id="rId107" Type="http://schemas.openxmlformats.org/officeDocument/2006/relationships/hyperlink" Target="https://www.google.com/maps/place/?q=place_id:ChIJpUpPAt_D5zsRU0z82JwQs1s" TargetMode="External"/><Relationship Id="rId228" Type="http://schemas.openxmlformats.org/officeDocument/2006/relationships/hyperlink" Target="https://www.google.com/maps/place/?q=place_id:ChIJlaneXwjD5zsRCObvb4AWU14" TargetMode="External"/><Relationship Id="rId349" Type="http://schemas.openxmlformats.org/officeDocument/2006/relationships/hyperlink" Target="https://tungstenfitness.in" TargetMode="External"/><Relationship Id="rId106" Type="http://schemas.openxmlformats.org/officeDocument/2006/relationships/hyperlink" Target="https://www.google.com/maps/place/?q=place_id:ChIJ58yNSFjD5zsRcGRVeloljXA" TargetMode="External"/><Relationship Id="rId227" Type="http://schemas.openxmlformats.org/officeDocument/2006/relationships/hyperlink" Target="https://www.facebook.com/powerplexfitness/" TargetMode="External"/><Relationship Id="rId348" Type="http://schemas.openxmlformats.org/officeDocument/2006/relationships/hyperlink" Target="https://www.google.com/maps/place/?q=place_id:ChIJfeD7TTfB5zsRL0FjBk3kTpc" TargetMode="External"/><Relationship Id="rId105" Type="http://schemas.openxmlformats.org/officeDocument/2006/relationships/hyperlink" Target="https://www.google.com/maps/place/?q=place_id:ChIJWxqoy9TD5zsRii1UDYEy1Xo" TargetMode="External"/><Relationship Id="rId226" Type="http://schemas.openxmlformats.org/officeDocument/2006/relationships/hyperlink" Target="https://www.instagram.com/powerplexfitness/" TargetMode="External"/><Relationship Id="rId347" Type="http://schemas.openxmlformats.org/officeDocument/2006/relationships/hyperlink" Target="https://www.google.com/maps/place/?q=place_id:ChIJxU7hm9HB5zsRqifyJ-s_kYI" TargetMode="External"/><Relationship Id="rId104" Type="http://schemas.openxmlformats.org/officeDocument/2006/relationships/hyperlink" Target="https://www.google.com/maps/place/?q=place_id:ChIJAQAA8E3C5zsR_3BDYp3wJTM" TargetMode="External"/><Relationship Id="rId225" Type="http://schemas.openxmlformats.org/officeDocument/2006/relationships/hyperlink" Target="https://www.google.com/maps/place/?q=place_id:ChIJRwLGbsXD5zsRL-_Qc87tBqo" TargetMode="External"/><Relationship Id="rId346" Type="http://schemas.openxmlformats.org/officeDocument/2006/relationships/hyperlink" Target="https://www.google.com/maps/place/?q=place_id:ChIJ6x5Fiq_r5zsRxAidUM5W_SY" TargetMode="External"/><Relationship Id="rId109" Type="http://schemas.openxmlformats.org/officeDocument/2006/relationships/hyperlink" Target="https://www.facebook.com/mpsfitnessworld" TargetMode="External"/><Relationship Id="rId108" Type="http://schemas.openxmlformats.org/officeDocument/2006/relationships/hyperlink" Target="https://www.instagram.com/mps_fitness_world/" TargetMode="External"/><Relationship Id="rId229" Type="http://schemas.openxmlformats.org/officeDocument/2006/relationships/hyperlink" Target="https://www.instagram.com/vervegymnasium/" TargetMode="External"/><Relationship Id="rId220" Type="http://schemas.openxmlformats.org/officeDocument/2006/relationships/hyperlink" Target="https://www.facebook.com/club90gym/" TargetMode="External"/><Relationship Id="rId341" Type="http://schemas.openxmlformats.org/officeDocument/2006/relationships/hyperlink" Target="https://www.instagram.com/theroarrfitnessclub/" TargetMode="External"/><Relationship Id="rId340" Type="http://schemas.openxmlformats.org/officeDocument/2006/relationships/hyperlink" Target="https://www.google.com/maps/place/?q=place_id:ChIJs8JD-53D5zsRRpW1MxCupb0" TargetMode="External"/><Relationship Id="rId103" Type="http://schemas.openxmlformats.org/officeDocument/2006/relationships/hyperlink" Target="https://www.facebook.com/mpsfitnessworld" TargetMode="External"/><Relationship Id="rId224" Type="http://schemas.openxmlformats.org/officeDocument/2006/relationships/hyperlink" Target="https://www.facebook.com/taisofitness/" TargetMode="External"/><Relationship Id="rId345" Type="http://schemas.openxmlformats.org/officeDocument/2006/relationships/hyperlink" Target="https://www.facebook.com/m90fitnesshouse/" TargetMode="External"/><Relationship Id="rId102" Type="http://schemas.openxmlformats.org/officeDocument/2006/relationships/hyperlink" Target="https://www.instagram.com/mps_fitness_world/" TargetMode="External"/><Relationship Id="rId223" Type="http://schemas.openxmlformats.org/officeDocument/2006/relationships/hyperlink" Target="https://www.instagram.com/taisofitness/" TargetMode="External"/><Relationship Id="rId344" Type="http://schemas.openxmlformats.org/officeDocument/2006/relationships/hyperlink" Target="https://www.instagram.com/m90fitnesshouse/" TargetMode="External"/><Relationship Id="rId101" Type="http://schemas.openxmlformats.org/officeDocument/2006/relationships/hyperlink" Target="https://www.google.com/maps/place/?q=place_id:ChIJC-6IZbjD5zsR8DB6niiDU0Q" TargetMode="External"/><Relationship Id="rId222" Type="http://schemas.openxmlformats.org/officeDocument/2006/relationships/hyperlink" Target="https://taisofitness.com" TargetMode="External"/><Relationship Id="rId343" Type="http://schemas.openxmlformats.org/officeDocument/2006/relationships/hyperlink" Target="https://www.google.com/maps/place/?q=place_id:ChIJUbwNulzr5zsRuMHhTGdb2EY" TargetMode="External"/><Relationship Id="rId100" Type="http://schemas.openxmlformats.org/officeDocument/2006/relationships/hyperlink" Target="https://gymarenaa.in/" TargetMode="External"/><Relationship Id="rId221" Type="http://schemas.openxmlformats.org/officeDocument/2006/relationships/hyperlink" Target="https://www.google.com/maps/place/?q=place_id:ChIJFX1FZPvD5zsRj0hPl6lzbwU" TargetMode="External"/><Relationship Id="rId342" Type="http://schemas.openxmlformats.org/officeDocument/2006/relationships/hyperlink" Target="https://www.facebook.com/theroarrfitnessclub/" TargetMode="External"/><Relationship Id="rId217" Type="http://schemas.openxmlformats.org/officeDocument/2006/relationships/hyperlink" Target="https://www.facebook.com/thefitnessempireseawoods/" TargetMode="External"/><Relationship Id="rId338" Type="http://schemas.openxmlformats.org/officeDocument/2006/relationships/hyperlink" Target="https://www.instagram.com/iroxxgym/" TargetMode="External"/><Relationship Id="rId216" Type="http://schemas.openxmlformats.org/officeDocument/2006/relationships/hyperlink" Target="https://www.instagram.com/thefitnessempire_" TargetMode="External"/><Relationship Id="rId337" Type="http://schemas.openxmlformats.org/officeDocument/2006/relationships/hyperlink" Target="https://www.google.com/maps/place/?q=place_id:ChIJf6s9IrPr5zsRevAbcH5vFis" TargetMode="External"/><Relationship Id="rId215" Type="http://schemas.openxmlformats.org/officeDocument/2006/relationships/hyperlink" Target="https://www.google.com/maps/place/?q=place_id:ChIJG2x5l4PD5zsRF9xz2k0ELac" TargetMode="External"/><Relationship Id="rId336" Type="http://schemas.openxmlformats.org/officeDocument/2006/relationships/hyperlink" Target="https://www.google.com/maps/place/?q=place_id:ChIJg7RBlxPr5zsRNkLC_ko5aH8" TargetMode="External"/><Relationship Id="rId214" Type="http://schemas.openxmlformats.org/officeDocument/2006/relationships/hyperlink" Target="https://www.facebook.com/revivefitnessseawoods/" TargetMode="External"/><Relationship Id="rId335" Type="http://schemas.openxmlformats.org/officeDocument/2006/relationships/hyperlink" Target="https://www.facebook.com/razefitness/" TargetMode="External"/><Relationship Id="rId219" Type="http://schemas.openxmlformats.org/officeDocument/2006/relationships/hyperlink" Target="https://www.instagram.com/club90gym/" TargetMode="External"/><Relationship Id="rId218" Type="http://schemas.openxmlformats.org/officeDocument/2006/relationships/hyperlink" Target="https://www.google.com/maps/place/?q=place_id:ChIJ45PSdpjD5zsRckUCDXaJthY" TargetMode="External"/><Relationship Id="rId339" Type="http://schemas.openxmlformats.org/officeDocument/2006/relationships/hyperlink" Target="https://www.facebook.com/iroxxgym/" TargetMode="External"/><Relationship Id="rId330" Type="http://schemas.openxmlformats.org/officeDocument/2006/relationships/hyperlink" Target="https://www.google.com/maps/place/?q=place_id:ChIJ4XyEl9zr5zsRc2QMp2og3Ls" TargetMode="External"/><Relationship Id="rId213" Type="http://schemas.openxmlformats.org/officeDocument/2006/relationships/hyperlink" Target="https://www.instagram.com/revivefitness_seawoods/" TargetMode="External"/><Relationship Id="rId334" Type="http://schemas.openxmlformats.org/officeDocument/2006/relationships/hyperlink" Target="https://www.instagram.com/razefitness/" TargetMode="External"/><Relationship Id="rId212" Type="http://schemas.openxmlformats.org/officeDocument/2006/relationships/hyperlink" Target="https://www.google.com/maps/place/?q=place_id:ChIJARs5CADD5zsRLVh14JCR3j4" TargetMode="External"/><Relationship Id="rId333" Type="http://schemas.openxmlformats.org/officeDocument/2006/relationships/hyperlink" Target="https://www.google.com/maps/place/?q=place_id:ChIJBZd4y9rr5zsRzC9rqx0V808" TargetMode="External"/><Relationship Id="rId211" Type="http://schemas.openxmlformats.org/officeDocument/2006/relationships/hyperlink" Target="https://www.facebook.com/PlusFitnessIndia/" TargetMode="External"/><Relationship Id="rId332" Type="http://schemas.openxmlformats.org/officeDocument/2006/relationships/hyperlink" Target="https://www.facebook.com/thelionsfitnessgym/" TargetMode="External"/><Relationship Id="rId210" Type="http://schemas.openxmlformats.org/officeDocument/2006/relationships/hyperlink" Target="https://www.instagram.com/plusfitnessindia/" TargetMode="External"/><Relationship Id="rId331" Type="http://schemas.openxmlformats.org/officeDocument/2006/relationships/hyperlink" Target="https://www.instagram.com/thelionsfitnessgym/" TargetMode="External"/><Relationship Id="rId129" Type="http://schemas.openxmlformats.org/officeDocument/2006/relationships/hyperlink" Target="https://www.google.com/maps/place/?q=place_id:ChIJf3Zdr-q55zsRLfSx8DNkWJU" TargetMode="External"/><Relationship Id="rId128" Type="http://schemas.openxmlformats.org/officeDocument/2006/relationships/hyperlink" Target="https://www.instagram.com/jkfitnessairoli/" TargetMode="External"/><Relationship Id="rId249" Type="http://schemas.openxmlformats.org/officeDocument/2006/relationships/hyperlink" Target="https://www.google.com/maps/place/?q=place_id:ChIJ0aQudlfp5zsR4j5JgLlWyFw" TargetMode="External"/><Relationship Id="rId127" Type="http://schemas.openxmlformats.org/officeDocument/2006/relationships/hyperlink" Target="https://www.google.com/maps/place/?q=place_id:ChIJKc-BrIe_5zsRca-pGRMRDzU" TargetMode="External"/><Relationship Id="rId248" Type="http://schemas.openxmlformats.org/officeDocument/2006/relationships/hyperlink" Target="https://www.google.com/maps/place/?q=place_id:ChIJQ29Giyvp5zsRvYI77lNWTVY" TargetMode="External"/><Relationship Id="rId126" Type="http://schemas.openxmlformats.org/officeDocument/2006/relationships/hyperlink" Target="https://www.facebook.com/revivalgymairoli/" TargetMode="External"/><Relationship Id="rId247" Type="http://schemas.openxmlformats.org/officeDocument/2006/relationships/hyperlink" Target="https://bhagat-fitness.business.site" TargetMode="External"/><Relationship Id="rId121" Type="http://schemas.openxmlformats.org/officeDocument/2006/relationships/hyperlink" Target="https://www.google.com/maps/place/?q=place_id:ChIJtZE8iRe_5zsRbWuaUSols80" TargetMode="External"/><Relationship Id="rId242" Type="http://schemas.openxmlformats.org/officeDocument/2006/relationships/hyperlink" Target="https://www.instagram.com/mygympanvel/" TargetMode="External"/><Relationship Id="rId363" Type="http://schemas.openxmlformats.org/officeDocument/2006/relationships/hyperlink" Target="https://www.google.com/maps/place/?q=place_id:ChIJwdZUyem_5zsRwUb_EsByJ4Y" TargetMode="External"/><Relationship Id="rId120" Type="http://schemas.openxmlformats.org/officeDocument/2006/relationships/hyperlink" Target="https://www.facebook.com/revolutionprofitness/" TargetMode="External"/><Relationship Id="rId241" Type="http://schemas.openxmlformats.org/officeDocument/2006/relationships/hyperlink" Target="https://www.google.com/maps/place/?q=place_id:ChIJwfEFzVzo5zsR9OoQciA9ws0" TargetMode="External"/><Relationship Id="rId362" Type="http://schemas.openxmlformats.org/officeDocument/2006/relationships/hyperlink" Target="https://www.google.com/maps/place/?q=place_id:ChIJbTYwPAC_5zsRBu5AeeJd77Y" TargetMode="External"/><Relationship Id="rId240" Type="http://schemas.openxmlformats.org/officeDocument/2006/relationships/hyperlink" Target="https://www.facebook.com/hifitnessstudio/" TargetMode="External"/><Relationship Id="rId361" Type="http://schemas.openxmlformats.org/officeDocument/2006/relationships/hyperlink" Target="https://www.instagram.com/dkfitnessdigha/" TargetMode="External"/><Relationship Id="rId360" Type="http://schemas.openxmlformats.org/officeDocument/2006/relationships/hyperlink" Target="https://www.google.com/maps/place/?q=place_id:ChIJW0q1Loi_5zsRtKisXt0Ox-8" TargetMode="External"/><Relationship Id="rId125" Type="http://schemas.openxmlformats.org/officeDocument/2006/relationships/hyperlink" Target="https://www.instagram.com/revivalgymairoli/" TargetMode="External"/><Relationship Id="rId246" Type="http://schemas.openxmlformats.org/officeDocument/2006/relationships/hyperlink" Target="https://www.google.com/maps/place/?q=place_id:ChIJdWP0Fhbo5zsRRNpylqIG6tA" TargetMode="External"/><Relationship Id="rId367" Type="http://schemas.openxmlformats.org/officeDocument/2006/relationships/drawing" Target="../drawings/drawing2.xml"/><Relationship Id="rId124" Type="http://schemas.openxmlformats.org/officeDocument/2006/relationships/hyperlink" Target="https://www.google.com/maps/place/?q=place_id:ChIJ57qmnbS45zsRGaORxYL-Su0" TargetMode="External"/><Relationship Id="rId245" Type="http://schemas.openxmlformats.org/officeDocument/2006/relationships/hyperlink" Target="https://www.instagram.com/aestheticarenafitness/" TargetMode="External"/><Relationship Id="rId366" Type="http://schemas.openxmlformats.org/officeDocument/2006/relationships/hyperlink" Target="https://www.facebook.com/powerhousegymnasium/" TargetMode="External"/><Relationship Id="rId123" Type="http://schemas.openxmlformats.org/officeDocument/2006/relationships/hyperlink" Target="https://www.facebook.com/falconfitnessarena/" TargetMode="External"/><Relationship Id="rId244" Type="http://schemas.openxmlformats.org/officeDocument/2006/relationships/hyperlink" Target="https://www.google.com/maps/place/?q=place_id:ChIJ01cr7wHp5zsRF8FUbSSPyeU" TargetMode="External"/><Relationship Id="rId365" Type="http://schemas.openxmlformats.org/officeDocument/2006/relationships/hyperlink" Target="https://www.instagram.com/powerhousegymnasium/" TargetMode="External"/><Relationship Id="rId122" Type="http://schemas.openxmlformats.org/officeDocument/2006/relationships/hyperlink" Target="https://www.instagram.com/falconfitnessarena/" TargetMode="External"/><Relationship Id="rId243" Type="http://schemas.openxmlformats.org/officeDocument/2006/relationships/hyperlink" Target="https://www.facebook.com/mygympanvel/" TargetMode="External"/><Relationship Id="rId364" Type="http://schemas.openxmlformats.org/officeDocument/2006/relationships/hyperlink" Target="https://www.google.com/maps/place/?q=place_id:ChIJAQAcYTK_5zsRvLb-Pt7_Jz0" TargetMode="External"/><Relationship Id="rId95" Type="http://schemas.openxmlformats.org/officeDocument/2006/relationships/hyperlink" Target="https://www.google.com/maps/place/?q=place_id:ChIJpdRze-TD5zsR5y6jX_uS3-U" TargetMode="External"/><Relationship Id="rId94" Type="http://schemas.openxmlformats.org/officeDocument/2006/relationships/hyperlink" Target="https://www.facebook.com/arisefitnesskharghar/" TargetMode="External"/><Relationship Id="rId97" Type="http://schemas.openxmlformats.org/officeDocument/2006/relationships/hyperlink" Target="https://www.instagram.com/plusfitnessindia/" TargetMode="External"/><Relationship Id="rId96" Type="http://schemas.openxmlformats.org/officeDocument/2006/relationships/hyperlink" Target="https://www.plusfitness.co.in/gyms/belapur/" TargetMode="External"/><Relationship Id="rId99" Type="http://schemas.openxmlformats.org/officeDocument/2006/relationships/hyperlink" Target="https://www.google.com/maps/place/?q=place_id:ChIJZ96XEarD5zsR3KguAzsdDG8" TargetMode="External"/><Relationship Id="rId98" Type="http://schemas.openxmlformats.org/officeDocument/2006/relationships/hyperlink" Target="https://www.facebook.com/PlusFitnessIndia/" TargetMode="External"/><Relationship Id="rId91" Type="http://schemas.openxmlformats.org/officeDocument/2006/relationships/hyperlink" Target="https://www.instagram.com/aestheticfitnesskharghar/" TargetMode="External"/><Relationship Id="rId90" Type="http://schemas.openxmlformats.org/officeDocument/2006/relationships/hyperlink" Target="https://www.google.com/maps/place/?q=place_id:ChIJq6qqajzC5zsRd-Ghq6IcgCw" TargetMode="External"/><Relationship Id="rId93" Type="http://schemas.openxmlformats.org/officeDocument/2006/relationships/hyperlink" Target="https://www.instagram.com/arisefitnesskharghar/" TargetMode="External"/><Relationship Id="rId92" Type="http://schemas.openxmlformats.org/officeDocument/2006/relationships/hyperlink" Target="https://www.google.com/maps/place/?q=place_id:ChIJ3WMtYcTD5zsRUXFmuL8o3UY" TargetMode="External"/><Relationship Id="rId118" Type="http://schemas.openxmlformats.org/officeDocument/2006/relationships/hyperlink" Target="https://www.google.com/maps/place/?q=place_id:ChIJGRzkibS45zsRAs2-ZH0Bpxs" TargetMode="External"/><Relationship Id="rId239" Type="http://schemas.openxmlformats.org/officeDocument/2006/relationships/hyperlink" Target="https://www.instagram.com/hifitnessstudio/" TargetMode="External"/><Relationship Id="rId117" Type="http://schemas.openxmlformats.org/officeDocument/2006/relationships/hyperlink" Target="https://www.facebook.com/TalwalkarsFitnessOfficial/" TargetMode="External"/><Relationship Id="rId238" Type="http://schemas.openxmlformats.org/officeDocument/2006/relationships/hyperlink" Target="https://www.google.com/maps/place/?q=place_id:ChIJn6BOf5vp5zsRav2b2GbgHJs" TargetMode="External"/><Relationship Id="rId359" Type="http://schemas.openxmlformats.org/officeDocument/2006/relationships/hyperlink" Target="https://www.facebook.com/fitbeatstudio/" TargetMode="External"/><Relationship Id="rId116" Type="http://schemas.openxmlformats.org/officeDocument/2006/relationships/hyperlink" Target="https://www.instagram.com/talwalkarsfitnessofficial/" TargetMode="External"/><Relationship Id="rId237" Type="http://schemas.openxmlformats.org/officeDocument/2006/relationships/hyperlink" Target="https://www.facebook.com/thewarriorfitnessgym/" TargetMode="External"/><Relationship Id="rId358" Type="http://schemas.openxmlformats.org/officeDocument/2006/relationships/hyperlink" Target="https://www.instagram.com/fitbeatstudio/" TargetMode="External"/><Relationship Id="rId115" Type="http://schemas.openxmlformats.org/officeDocument/2006/relationships/hyperlink" Target="https://www.google.com/maps/place/?q=place_id:ChIJM8PthVS_5zsRQKrrpu-LUzQ" TargetMode="External"/><Relationship Id="rId236" Type="http://schemas.openxmlformats.org/officeDocument/2006/relationships/hyperlink" Target="https://www.instagram.com/thewarriorfitness_/" TargetMode="External"/><Relationship Id="rId357" Type="http://schemas.openxmlformats.org/officeDocument/2006/relationships/hyperlink" Target="https://fitbeatstudio.in" TargetMode="External"/><Relationship Id="rId119" Type="http://schemas.openxmlformats.org/officeDocument/2006/relationships/hyperlink" Target="https://www.instagram.com/revolutionprofitness/" TargetMode="External"/><Relationship Id="rId110" Type="http://schemas.openxmlformats.org/officeDocument/2006/relationships/hyperlink" Target="https://www.google.com/maps/place/?q=place_id:ChIJ71OfJ_7D5zsRi_5zskjiDoE" TargetMode="External"/><Relationship Id="rId231" Type="http://schemas.openxmlformats.org/officeDocument/2006/relationships/hyperlink" Target="https://www.google.com/maps/place/?q=place_id:ChIJoQuppYDp5zsROQZb5kN-pMY" TargetMode="External"/><Relationship Id="rId352" Type="http://schemas.openxmlformats.org/officeDocument/2006/relationships/hyperlink" Target="https://www.google.com/maps/place/?q=place_id:ChIJT1XoGZfB5zsR75cNTmA02As" TargetMode="External"/><Relationship Id="rId230" Type="http://schemas.openxmlformats.org/officeDocument/2006/relationships/hyperlink" Target="https://www.facebook.com/vervegymnasium/" TargetMode="External"/><Relationship Id="rId351" Type="http://schemas.openxmlformats.org/officeDocument/2006/relationships/hyperlink" Target="https://www.facebook.com/tungstenfitnessclub/" TargetMode="External"/><Relationship Id="rId350" Type="http://schemas.openxmlformats.org/officeDocument/2006/relationships/hyperlink" Target="https://www.instagram.com/tungstenfitnessclub/" TargetMode="External"/><Relationship Id="rId114" Type="http://schemas.openxmlformats.org/officeDocument/2006/relationships/hyperlink" Target="https://www.google.com/maps/place/?q=place_id:ChIJuVUIf1G_5zsRZwN-mq-b_rM" TargetMode="External"/><Relationship Id="rId235" Type="http://schemas.openxmlformats.org/officeDocument/2006/relationships/hyperlink" Target="https://www.google.com/maps/place/?q=place_id:ChIJX-EYPADp5zsRtFDGWuLvOT8" TargetMode="External"/><Relationship Id="rId356" Type="http://schemas.openxmlformats.org/officeDocument/2006/relationships/hyperlink" Target="https://www.google.com/maps/place/?q=place_id:ChIJjdmqWRTB5zsRhTScqp1ql6A" TargetMode="External"/><Relationship Id="rId113" Type="http://schemas.openxmlformats.org/officeDocument/2006/relationships/hyperlink" Target="https://www.google.com/maps/place/?q=place_id:ChIJ-UX9pn-55zsRLeJ4ehzLLHk" TargetMode="External"/><Relationship Id="rId234" Type="http://schemas.openxmlformats.org/officeDocument/2006/relationships/hyperlink" Target="https://www.facebook.com/outrawgym/" TargetMode="External"/><Relationship Id="rId355" Type="http://schemas.openxmlformats.org/officeDocument/2006/relationships/hyperlink" Target="https://www.google.com/maps/place/?q=place_id:ChIJi-QskMvB5zsRq0gTpm2yu_w" TargetMode="External"/><Relationship Id="rId112" Type="http://schemas.openxmlformats.org/officeDocument/2006/relationships/hyperlink" Target="https://www.google.com/maps/place/?q=place_id:ChIJPW9nMWHD5zsRliiVijj5Bnk" TargetMode="External"/><Relationship Id="rId233" Type="http://schemas.openxmlformats.org/officeDocument/2006/relationships/hyperlink" Target="https://www.instagram.com/outrawgym/" TargetMode="External"/><Relationship Id="rId354" Type="http://schemas.openxmlformats.org/officeDocument/2006/relationships/hyperlink" Target="https://www.facebook.com/revolutionprofitness/" TargetMode="External"/><Relationship Id="rId111" Type="http://schemas.openxmlformats.org/officeDocument/2006/relationships/hyperlink" Target="https://www.google.com/maps/place/?q=place_id:ChIJ4T5tIkrD5zsRg-b0KMf1J1U" TargetMode="External"/><Relationship Id="rId232" Type="http://schemas.openxmlformats.org/officeDocument/2006/relationships/hyperlink" Target="https://outrawgym.com" TargetMode="External"/><Relationship Id="rId353" Type="http://schemas.openxmlformats.org/officeDocument/2006/relationships/hyperlink" Target="https://www.instagram.com/revolutionprofitness/" TargetMode="External"/><Relationship Id="rId305" Type="http://schemas.openxmlformats.org/officeDocument/2006/relationships/hyperlink" Target="https://urbangymnation.com" TargetMode="External"/><Relationship Id="rId304" Type="http://schemas.openxmlformats.org/officeDocument/2006/relationships/hyperlink" Target="https://www.google.com/maps/place/?q=place_id:ChIJGz9GnSPD5zsRVwoVg7T3iaY" TargetMode="External"/><Relationship Id="rId303" Type="http://schemas.openxmlformats.org/officeDocument/2006/relationships/hyperlink" Target="https://www.facebook.com/kenzofitnessindia/" TargetMode="External"/><Relationship Id="rId302" Type="http://schemas.openxmlformats.org/officeDocument/2006/relationships/hyperlink" Target="https://www.instagram.com/kenzofitnessindia/" TargetMode="External"/><Relationship Id="rId309" Type="http://schemas.openxmlformats.org/officeDocument/2006/relationships/hyperlink" Target="https://www.instagram.com/ragnorfitness/" TargetMode="External"/><Relationship Id="rId308" Type="http://schemas.openxmlformats.org/officeDocument/2006/relationships/hyperlink" Target="https://www.google.com/maps/place/?q=place_id:ChIJjVw-NvDD5zsR61WISEhHFvQ" TargetMode="External"/><Relationship Id="rId307" Type="http://schemas.openxmlformats.org/officeDocument/2006/relationships/hyperlink" Target="https://www.facebook.com/urbangymnation/" TargetMode="External"/><Relationship Id="rId306" Type="http://schemas.openxmlformats.org/officeDocument/2006/relationships/hyperlink" Target="https://www.instagram.com/urbangymnation/" TargetMode="External"/><Relationship Id="rId301" Type="http://schemas.openxmlformats.org/officeDocument/2006/relationships/hyperlink" Target="https://www.kenzofitness.co.in" TargetMode="External"/><Relationship Id="rId300" Type="http://schemas.openxmlformats.org/officeDocument/2006/relationships/hyperlink" Target="https://www.google.com/maps/place/?q=place_id:ChIJiSjru4bD5zsRKYR8cdqjAHI" TargetMode="External"/><Relationship Id="rId206" Type="http://schemas.openxmlformats.org/officeDocument/2006/relationships/hyperlink" Target="https://www.instagram.com/prayasfitnessclub/" TargetMode="External"/><Relationship Id="rId327" Type="http://schemas.openxmlformats.org/officeDocument/2006/relationships/hyperlink" Target="https://www.instagram.com/goprofitness_ulwe/" TargetMode="External"/><Relationship Id="rId205" Type="http://schemas.openxmlformats.org/officeDocument/2006/relationships/hyperlink" Target="https://www.google.com/maps/place/?q=place_id:ChIJrdwa-kTB5zsRAb4pH8ufArw" TargetMode="External"/><Relationship Id="rId326" Type="http://schemas.openxmlformats.org/officeDocument/2006/relationships/hyperlink" Target="https://www.google.com/maps/place/?q=place_id:ChIJ1fuylC7D5zsREzdLKMgikxs" TargetMode="External"/><Relationship Id="rId204" Type="http://schemas.openxmlformats.org/officeDocument/2006/relationships/hyperlink" Target="https://www.google.com/maps/place/?q=place_id:ChIJA2o3f3jB5zsRofdLLlfpAMo" TargetMode="External"/><Relationship Id="rId325" Type="http://schemas.openxmlformats.org/officeDocument/2006/relationships/hyperlink" Target="https://www.instagram.com/leofitness_ulwe/" TargetMode="External"/><Relationship Id="rId203" Type="http://schemas.openxmlformats.org/officeDocument/2006/relationships/hyperlink" Target="https://www.facebook.com/proaddictsfitness/" TargetMode="External"/><Relationship Id="rId324" Type="http://schemas.openxmlformats.org/officeDocument/2006/relationships/hyperlink" Target="https://www.google.com/maps/place/?q=place_id:ChIJ0YfZQ4bD5zsRgQ5cJG740Sc" TargetMode="External"/><Relationship Id="rId209" Type="http://schemas.openxmlformats.org/officeDocument/2006/relationships/hyperlink" Target="https://www.plusfitness.co.in/gyms/seawoods?utm_source=chatgpt.com" TargetMode="External"/><Relationship Id="rId208" Type="http://schemas.openxmlformats.org/officeDocument/2006/relationships/hyperlink" Target="https://www.google.com/maps/place/?q=place_id:ChIJTQc93t3D5zsRojOon9K_PA4" TargetMode="External"/><Relationship Id="rId329" Type="http://schemas.openxmlformats.org/officeDocument/2006/relationships/hyperlink" Target="https://www.google.com/maps/place/?q=place_id:ChIJdYACBfvr5zsR2WYJR2KZh-0" TargetMode="External"/><Relationship Id="rId207" Type="http://schemas.openxmlformats.org/officeDocument/2006/relationships/hyperlink" Target="https://www.facebook.com/prayasfitnessclub/" TargetMode="External"/><Relationship Id="rId328" Type="http://schemas.openxmlformats.org/officeDocument/2006/relationships/hyperlink" Target="https://www.facebook.com/goprofitnessulwe/" TargetMode="External"/><Relationship Id="rId202" Type="http://schemas.openxmlformats.org/officeDocument/2006/relationships/hyperlink" Target="https://www.instagram.com/proaddictsfitness/" TargetMode="External"/><Relationship Id="rId323" Type="http://schemas.openxmlformats.org/officeDocument/2006/relationships/hyperlink" Target="https://www.facebook.com/tungstenfitnessclub/" TargetMode="External"/><Relationship Id="rId201" Type="http://schemas.openxmlformats.org/officeDocument/2006/relationships/hyperlink" Target="https://www.google.com/maps/place/?q=place_id:ChIJJ_ooW17B5zsRvU4HdVz74No" TargetMode="External"/><Relationship Id="rId322" Type="http://schemas.openxmlformats.org/officeDocument/2006/relationships/hyperlink" Target="https://www.instagram.com/tungstenfitnessclub/" TargetMode="External"/><Relationship Id="rId200" Type="http://schemas.openxmlformats.org/officeDocument/2006/relationships/hyperlink" Target="https://www.facebook.com/mustangsfitnesscentre/" TargetMode="External"/><Relationship Id="rId321" Type="http://schemas.openxmlformats.org/officeDocument/2006/relationships/hyperlink" Target="https://tungstenfitness.in" TargetMode="External"/><Relationship Id="rId320" Type="http://schemas.openxmlformats.org/officeDocument/2006/relationships/hyperlink" Target="https://www.google.com/maps/place/?q=place_id:ChIJqWnSMmXD5zsRZkQ1xLBaElA" TargetMode="External"/><Relationship Id="rId316" Type="http://schemas.openxmlformats.org/officeDocument/2006/relationships/hyperlink" Target="https://www.facebook.com/cutandcurvefitnessclub/" TargetMode="External"/><Relationship Id="rId315" Type="http://schemas.openxmlformats.org/officeDocument/2006/relationships/hyperlink" Target="https://www.instagram.com/cutandcurvefitnessclub/" TargetMode="External"/><Relationship Id="rId314" Type="http://schemas.openxmlformats.org/officeDocument/2006/relationships/hyperlink" Target="https://www.google.com/maps/place/?q=place_id:ChIJB0ubm77D5zsRsS83Gjldn0M" TargetMode="External"/><Relationship Id="rId313" Type="http://schemas.openxmlformats.org/officeDocument/2006/relationships/hyperlink" Target="https://www.facebook.com/aeifitness/" TargetMode="External"/><Relationship Id="rId319" Type="http://schemas.openxmlformats.org/officeDocument/2006/relationships/hyperlink" Target="https://www.facebook.com/goprofitnessulwe/" TargetMode="External"/><Relationship Id="rId318" Type="http://schemas.openxmlformats.org/officeDocument/2006/relationships/hyperlink" Target="https://www.instagram.com/goprofitness_ulwe/" TargetMode="External"/><Relationship Id="rId317" Type="http://schemas.openxmlformats.org/officeDocument/2006/relationships/hyperlink" Target="https://www.google.com/maps/place/?q=place_id:ChIJCV_7AJTD5zsRcGXwg0UvCJk" TargetMode="External"/><Relationship Id="rId312" Type="http://schemas.openxmlformats.org/officeDocument/2006/relationships/hyperlink" Target="https://www.instagram.com/aeifitness/" TargetMode="External"/><Relationship Id="rId311" Type="http://schemas.openxmlformats.org/officeDocument/2006/relationships/hyperlink" Target="https://www.google.com/maps/place/?q=place_id:ChIJr8gukCnD5zsRdGN0zMGexOY" TargetMode="External"/><Relationship Id="rId310" Type="http://schemas.openxmlformats.org/officeDocument/2006/relationships/hyperlink" Target="https://www.facebook.com/ragnorfitness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traance.fit/" TargetMode="External"/><Relationship Id="rId22" Type="http://schemas.openxmlformats.org/officeDocument/2006/relationships/hyperlink" Target="https://tungstenfitness.in/" TargetMode="External"/><Relationship Id="rId21" Type="http://schemas.openxmlformats.org/officeDocument/2006/relationships/hyperlink" Target="https://tungstenfitness.in/" TargetMode="External"/><Relationship Id="rId24" Type="http://schemas.openxmlformats.org/officeDocument/2006/relationships/hyperlink" Target="https://tungstenfitness.in/" TargetMode="External"/><Relationship Id="rId23" Type="http://schemas.openxmlformats.org/officeDocument/2006/relationships/hyperlink" Target="https://tungstenfitness.in/" TargetMode="External"/><Relationship Id="rId26" Type="http://schemas.openxmlformats.org/officeDocument/2006/relationships/hyperlink" Target="https://zenxfit.in/" TargetMode="External"/><Relationship Id="rId25" Type="http://schemas.openxmlformats.org/officeDocument/2006/relationships/hyperlink" Target="https://tungstenfitnessclub.com/" TargetMode="External"/><Relationship Id="rId27" Type="http://schemas.openxmlformats.org/officeDocument/2006/relationships/drawing" Target="../drawings/drawing3.xml"/><Relationship Id="rId11" Type="http://schemas.openxmlformats.org/officeDocument/2006/relationships/hyperlink" Target="https://www.kenzofitness.co.in/" TargetMode="External"/><Relationship Id="rId10" Type="http://schemas.openxmlformats.org/officeDocument/2006/relationships/hyperlink" Target="https://www.kenzofitness.co.in/" TargetMode="External"/><Relationship Id="rId13" Type="http://schemas.openxmlformats.org/officeDocument/2006/relationships/hyperlink" Target="https://www.nerulgymkhana.com/" TargetMode="External"/><Relationship Id="rId12" Type="http://schemas.openxmlformats.org/officeDocument/2006/relationships/hyperlink" Target="https://www.mustangsfitness.com/" TargetMode="External"/><Relationship Id="rId15" Type="http://schemas.openxmlformats.org/officeDocument/2006/relationships/hyperlink" Target="https://www.plusfitness.co.in/gyms/seawoods" TargetMode="External"/><Relationship Id="rId14" Type="http://schemas.openxmlformats.org/officeDocument/2006/relationships/hyperlink" Target="https://oneabovefitness.com/" TargetMode="External"/><Relationship Id="rId17" Type="http://schemas.openxmlformats.org/officeDocument/2006/relationships/hyperlink" Target="https://www.samaragym.com?utm_source=chatgpt.com" TargetMode="External"/><Relationship Id="rId16" Type="http://schemas.openxmlformats.org/officeDocument/2006/relationships/hyperlink" Target="https://www.plusfitness.co.in/gyms/belapur/" TargetMode="External"/><Relationship Id="rId19" Type="http://schemas.openxmlformats.org/officeDocument/2006/relationships/hyperlink" Target="https://taisofitness.com/" TargetMode="External"/><Relationship Id="rId18" Type="http://schemas.openxmlformats.org/officeDocument/2006/relationships/hyperlink" Target="https://taisoindia.com/gym-in-panvel.html" TargetMode="External"/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anytimefitness.co.in/" TargetMode="External"/><Relationship Id="rId3" Type="http://schemas.openxmlformats.org/officeDocument/2006/relationships/hyperlink" Target="https://www.cult.fit/fitness/centers/body-power-kharghar" TargetMode="External"/><Relationship Id="rId4" Type="http://schemas.openxmlformats.org/officeDocument/2006/relationships/hyperlink" Target="https://coregym.co.in/" TargetMode="External"/><Relationship Id="rId9" Type="http://schemas.openxmlformats.org/officeDocument/2006/relationships/hyperlink" Target="https://www.kenzofitness.co.in/" TargetMode="External"/><Relationship Id="rId5" Type="http://schemas.openxmlformats.org/officeDocument/2006/relationships/hyperlink" Target="https://www.fitnessclubstudio.in/" TargetMode="External"/><Relationship Id="rId6" Type="http://schemas.openxmlformats.org/officeDocument/2006/relationships/hyperlink" Target="https://www.flexfiregym.in/" TargetMode="External"/><Relationship Id="rId7" Type="http://schemas.openxmlformats.org/officeDocument/2006/relationships/hyperlink" Target="https://gymarenaa.in/" TargetMode="External"/><Relationship Id="rId8" Type="http://schemas.openxmlformats.org/officeDocument/2006/relationships/hyperlink" Target="https://hardcoregym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6.0"/>
  </cols>
  <sheetData>
    <row r="1">
      <c r="A1" s="1" t="s">
        <v>1</v>
      </c>
    </row>
    <row r="2">
      <c r="A2" s="3"/>
    </row>
    <row r="3">
      <c r="A3" s="3" t="s">
        <v>5</v>
      </c>
    </row>
    <row r="4">
      <c r="A4" s="3" t="s">
        <v>7</v>
      </c>
    </row>
    <row r="5">
      <c r="A5" s="3" t="s">
        <v>9</v>
      </c>
    </row>
    <row r="6">
      <c r="A6" s="3" t="s">
        <v>10</v>
      </c>
    </row>
    <row r="7">
      <c r="A7" s="3" t="s">
        <v>11</v>
      </c>
    </row>
    <row r="8">
      <c r="A8" s="3" t="s">
        <v>15</v>
      </c>
    </row>
    <row r="9">
      <c r="A9" s="3" t="s">
        <v>17</v>
      </c>
    </row>
    <row r="10">
      <c r="A10" s="3" t="s">
        <v>19</v>
      </c>
    </row>
    <row r="11">
      <c r="A11" s="3" t="s">
        <v>21</v>
      </c>
    </row>
    <row r="12">
      <c r="A12" s="3" t="s">
        <v>23</v>
      </c>
    </row>
    <row r="13">
      <c r="A13" s="7"/>
    </row>
    <row r="14">
      <c r="A1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65.75"/>
    <col customWidth="1" min="8" max="8" width="35.88"/>
    <col customWidth="1" min="9" max="9" width="26.63"/>
    <col customWidth="1" min="10" max="10" width="41.88"/>
    <col customWidth="1" min="11" max="11" width="56.25"/>
    <col customWidth="1" min="12" max="12" width="18.88"/>
  </cols>
  <sheetData>
    <row r="1">
      <c r="A1" s="2" t="s">
        <v>2</v>
      </c>
      <c r="B1" s="2" t="s">
        <v>3</v>
      </c>
      <c r="C1" s="4" t="s">
        <v>4</v>
      </c>
      <c r="D1" s="2" t="s">
        <v>6</v>
      </c>
      <c r="E1" s="2" t="s">
        <v>12</v>
      </c>
      <c r="F1" s="2" t="s">
        <v>14</v>
      </c>
      <c r="G1" s="9" t="s">
        <v>0</v>
      </c>
      <c r="H1" s="2" t="s">
        <v>8</v>
      </c>
      <c r="I1" s="2" t="s">
        <v>16</v>
      </c>
      <c r="J1" s="2" t="s">
        <v>18</v>
      </c>
      <c r="K1" s="2" t="s">
        <v>25</v>
      </c>
      <c r="L1" s="2" t="s">
        <v>25</v>
      </c>
      <c r="M1" s="12"/>
    </row>
    <row r="2">
      <c r="A2" s="13" t="s">
        <v>28</v>
      </c>
      <c r="B2" s="13" t="s">
        <v>29</v>
      </c>
      <c r="C2" s="14" t="s">
        <v>30</v>
      </c>
      <c r="D2" s="19" t="s">
        <v>31</v>
      </c>
      <c r="E2" s="20">
        <v>4.8</v>
      </c>
      <c r="F2" s="20">
        <v>324.0</v>
      </c>
      <c r="G2" s="20">
        <v>1.0</v>
      </c>
      <c r="H2" s="14" t="s">
        <v>37</v>
      </c>
      <c r="I2" s="21" t="s">
        <v>33</v>
      </c>
      <c r="J2" s="22" t="s">
        <v>38</v>
      </c>
      <c r="K2" s="23" t="s">
        <v>40</v>
      </c>
      <c r="L2" s="23" t="s">
        <v>41</v>
      </c>
    </row>
    <row r="3">
      <c r="A3" s="13" t="s">
        <v>28</v>
      </c>
      <c r="B3" s="13" t="s">
        <v>45</v>
      </c>
      <c r="C3" s="14" t="s">
        <v>47</v>
      </c>
      <c r="D3" s="19" t="s">
        <v>48</v>
      </c>
      <c r="E3" s="20">
        <v>4.8</v>
      </c>
      <c r="F3" s="20">
        <v>175.0</v>
      </c>
      <c r="G3" s="20">
        <v>2.0</v>
      </c>
      <c r="H3" s="14" t="s">
        <v>49</v>
      </c>
      <c r="I3" s="21" t="s">
        <v>51</v>
      </c>
      <c r="J3" s="21" t="s">
        <v>33</v>
      </c>
      <c r="K3" s="23" t="s">
        <v>54</v>
      </c>
      <c r="L3" s="23" t="s">
        <v>56</v>
      </c>
    </row>
    <row r="4">
      <c r="A4" s="13" t="s">
        <v>28</v>
      </c>
      <c r="B4" s="13" t="s">
        <v>57</v>
      </c>
      <c r="C4" s="25" t="str">
        <f>+91 81692 32775</f>
        <v>#ERROR!</v>
      </c>
      <c r="D4" s="19" t="s">
        <v>60</v>
      </c>
      <c r="E4" s="20">
        <v>4.9</v>
      </c>
      <c r="F4" s="20">
        <v>85.0</v>
      </c>
      <c r="G4" s="20">
        <v>3.0</v>
      </c>
      <c r="H4" s="14" t="s">
        <v>63</v>
      </c>
      <c r="I4" s="21" t="s">
        <v>64</v>
      </c>
      <c r="J4" s="23" t="s">
        <v>65</v>
      </c>
      <c r="K4" s="23" t="s">
        <v>67</v>
      </c>
      <c r="L4" s="23" t="s">
        <v>71</v>
      </c>
    </row>
    <row r="5">
      <c r="A5" s="13" t="s">
        <v>28</v>
      </c>
      <c r="B5" s="13" t="s">
        <v>72</v>
      </c>
      <c r="C5" s="25" t="str">
        <f>+91 78888 15252</f>
        <v>#ERROR!</v>
      </c>
      <c r="D5" s="19" t="s">
        <v>73</v>
      </c>
      <c r="E5" s="20">
        <v>4.7</v>
      </c>
      <c r="F5" s="20">
        <v>122.0</v>
      </c>
      <c r="G5" s="20">
        <v>4.0</v>
      </c>
      <c r="H5" s="14" t="s">
        <v>78</v>
      </c>
      <c r="I5" s="21" t="s">
        <v>79</v>
      </c>
      <c r="J5" s="23" t="s">
        <v>80</v>
      </c>
      <c r="K5" s="23" t="s">
        <v>85</v>
      </c>
      <c r="L5" s="21" t="s">
        <v>33</v>
      </c>
    </row>
    <row r="6">
      <c r="A6" s="27" t="s">
        <v>28</v>
      </c>
      <c r="B6" s="13" t="s">
        <v>86</v>
      </c>
      <c r="C6" s="25" t="str">
        <f>+91 85915 03535</f>
        <v>#ERROR!</v>
      </c>
      <c r="D6" s="19" t="s">
        <v>87</v>
      </c>
      <c r="E6" s="20">
        <v>4.6</v>
      </c>
      <c r="F6" s="20">
        <v>159.0</v>
      </c>
      <c r="G6" s="20">
        <v>5.0</v>
      </c>
      <c r="H6" s="14" t="s">
        <v>88</v>
      </c>
      <c r="I6" s="21" t="s">
        <v>33</v>
      </c>
      <c r="J6" s="21" t="s">
        <v>33</v>
      </c>
      <c r="K6" s="21" t="s">
        <v>33</v>
      </c>
      <c r="L6" s="21" t="s">
        <v>33</v>
      </c>
    </row>
    <row r="7">
      <c r="A7" s="13" t="s">
        <v>28</v>
      </c>
      <c r="B7" s="13" t="s">
        <v>89</v>
      </c>
      <c r="C7" s="25" t="str">
        <f>+91 89281 15003</f>
        <v>#ERROR!</v>
      </c>
      <c r="D7" s="19" t="s">
        <v>91</v>
      </c>
      <c r="E7" s="20">
        <v>4.8</v>
      </c>
      <c r="F7" s="20">
        <v>319.0</v>
      </c>
      <c r="G7" s="20">
        <v>6.0</v>
      </c>
      <c r="H7" s="14" t="s">
        <v>94</v>
      </c>
      <c r="I7" s="21" t="s">
        <v>33</v>
      </c>
      <c r="J7" s="23" t="s">
        <v>95</v>
      </c>
      <c r="K7" s="23" t="s">
        <v>97</v>
      </c>
      <c r="L7" s="23" t="s">
        <v>100</v>
      </c>
    </row>
    <row r="8">
      <c r="A8" s="13" t="s">
        <v>28</v>
      </c>
      <c r="B8" s="13" t="s">
        <v>102</v>
      </c>
      <c r="C8" s="25" t="str">
        <f>+91 98336 66622</f>
        <v>#ERROR!</v>
      </c>
      <c r="D8" s="19" t="s">
        <v>103</v>
      </c>
      <c r="E8" s="20">
        <v>4.6</v>
      </c>
      <c r="F8" s="20">
        <v>524.0</v>
      </c>
      <c r="G8" s="20">
        <v>7.0</v>
      </c>
      <c r="H8" s="14" t="s">
        <v>108</v>
      </c>
      <c r="I8" s="21" t="s">
        <v>33</v>
      </c>
      <c r="J8" s="21" t="s">
        <v>33</v>
      </c>
      <c r="K8" s="23" t="s">
        <v>109</v>
      </c>
      <c r="L8" s="23" t="s">
        <v>110</v>
      </c>
    </row>
    <row r="9">
      <c r="A9" s="13" t="s">
        <v>28</v>
      </c>
      <c r="B9" s="13" t="s">
        <v>114</v>
      </c>
      <c r="C9" s="25" t="str">
        <f>+91 87792 72114</f>
        <v>#ERROR!</v>
      </c>
      <c r="D9" s="19" t="s">
        <v>115</v>
      </c>
      <c r="E9" s="20">
        <v>4.8</v>
      </c>
      <c r="F9" s="20">
        <v>383.0</v>
      </c>
      <c r="G9" s="20">
        <v>8.0</v>
      </c>
      <c r="H9" s="14" t="s">
        <v>118</v>
      </c>
      <c r="I9" s="21" t="s">
        <v>120</v>
      </c>
      <c r="J9" s="21" t="s">
        <v>33</v>
      </c>
      <c r="K9" s="23" t="s">
        <v>121</v>
      </c>
      <c r="L9" s="23" t="s">
        <v>123</v>
      </c>
    </row>
    <row r="10">
      <c r="A10" s="13" t="s">
        <v>28</v>
      </c>
      <c r="B10" s="13" t="s">
        <v>124</v>
      </c>
      <c r="C10" s="25" t="str">
        <f>+91 87796 72100</f>
        <v>#ERROR!</v>
      </c>
      <c r="D10" s="19" t="s">
        <v>126</v>
      </c>
      <c r="E10" s="20">
        <v>4.8</v>
      </c>
      <c r="F10" s="20">
        <v>349.0</v>
      </c>
      <c r="G10" s="20">
        <v>9.0</v>
      </c>
      <c r="H10" s="14" t="s">
        <v>130</v>
      </c>
      <c r="I10" s="21" t="s">
        <v>51</v>
      </c>
      <c r="J10" s="21" t="s">
        <v>33</v>
      </c>
      <c r="K10" s="23" t="s">
        <v>54</v>
      </c>
      <c r="L10" s="23" t="s">
        <v>56</v>
      </c>
    </row>
    <row r="11">
      <c r="A11" s="13" t="s">
        <v>28</v>
      </c>
      <c r="B11" s="13" t="s">
        <v>131</v>
      </c>
      <c r="C11" s="25" t="str">
        <f>+91 79000 31593</f>
        <v>#ERROR!</v>
      </c>
      <c r="D11" s="19" t="s">
        <v>132</v>
      </c>
      <c r="E11" s="20">
        <v>4.6</v>
      </c>
      <c r="F11" s="20">
        <v>108.0</v>
      </c>
      <c r="G11" s="20">
        <v>10.0</v>
      </c>
      <c r="H11" s="14" t="s">
        <v>133</v>
      </c>
      <c r="I11" s="21" t="s">
        <v>33</v>
      </c>
      <c r="J11" s="21" t="s">
        <v>33</v>
      </c>
      <c r="K11" s="23" t="s">
        <v>134</v>
      </c>
      <c r="L11" s="23" t="s">
        <v>138</v>
      </c>
    </row>
    <row r="12">
      <c r="A12" s="13" t="s">
        <v>75</v>
      </c>
      <c r="B12" s="13" t="s">
        <v>140</v>
      </c>
      <c r="C12" s="25" t="str">
        <f>+91 91374 64261</f>
        <v>#ERROR!</v>
      </c>
      <c r="D12" s="19" t="s">
        <v>141</v>
      </c>
      <c r="E12" s="20">
        <v>4.7</v>
      </c>
      <c r="F12" s="20">
        <v>556.0</v>
      </c>
      <c r="G12" s="20">
        <v>11.0</v>
      </c>
      <c r="H12" s="21" t="s">
        <v>143</v>
      </c>
      <c r="I12" s="21" t="s">
        <v>144</v>
      </c>
      <c r="J12" s="23" t="s">
        <v>146</v>
      </c>
      <c r="K12" s="23" t="s">
        <v>148</v>
      </c>
      <c r="L12" s="23" t="s">
        <v>149</v>
      </c>
    </row>
    <row r="13">
      <c r="A13" s="13" t="s">
        <v>75</v>
      </c>
      <c r="B13" s="13" t="s">
        <v>153</v>
      </c>
      <c r="C13" s="25" t="str">
        <f>+91 91676 77002</f>
        <v>#ERROR!</v>
      </c>
      <c r="D13" s="19" t="s">
        <v>155</v>
      </c>
      <c r="E13" s="20">
        <v>4.9</v>
      </c>
      <c r="F13" s="20">
        <v>564.0</v>
      </c>
      <c r="G13" s="20">
        <v>12.0</v>
      </c>
      <c r="H13" s="21" t="s">
        <v>159</v>
      </c>
      <c r="I13" s="21" t="s">
        <v>64</v>
      </c>
      <c r="J13" s="23" t="s">
        <v>160</v>
      </c>
      <c r="K13" s="23" t="s">
        <v>67</v>
      </c>
      <c r="L13" s="23" t="s">
        <v>71</v>
      </c>
    </row>
    <row r="14">
      <c r="A14" s="13" t="s">
        <v>75</v>
      </c>
      <c r="B14" s="13" t="s">
        <v>162</v>
      </c>
      <c r="C14" s="25" t="str">
        <f>+91 91374 54549</f>
        <v>#ERROR!</v>
      </c>
      <c r="D14" s="19" t="s">
        <v>165</v>
      </c>
      <c r="E14" s="20">
        <v>4.6</v>
      </c>
      <c r="F14" s="20">
        <v>207.0</v>
      </c>
      <c r="G14" s="20">
        <v>13.0</v>
      </c>
      <c r="H14" s="21" t="s">
        <v>166</v>
      </c>
      <c r="I14" s="21" t="s">
        <v>51</v>
      </c>
      <c r="J14" s="21" t="s">
        <v>33</v>
      </c>
      <c r="K14" s="23" t="s">
        <v>54</v>
      </c>
      <c r="L14" s="23" t="s">
        <v>56</v>
      </c>
    </row>
    <row r="15">
      <c r="A15" s="13" t="s">
        <v>75</v>
      </c>
      <c r="B15" s="13" t="s">
        <v>169</v>
      </c>
      <c r="C15" s="25" t="str">
        <f>+91 93727 70136</f>
        <v>#ERROR!</v>
      </c>
      <c r="D15" s="19" t="s">
        <v>173</v>
      </c>
      <c r="E15" s="20">
        <v>4.0</v>
      </c>
      <c r="F15" s="20">
        <v>2839.0</v>
      </c>
      <c r="G15" s="20">
        <v>14.0</v>
      </c>
      <c r="H15" s="21" t="s">
        <v>174</v>
      </c>
      <c r="I15" s="21" t="s">
        <v>175</v>
      </c>
      <c r="J15" s="23" t="s">
        <v>176</v>
      </c>
      <c r="K15" s="21" t="s">
        <v>33</v>
      </c>
      <c r="L15" s="23" t="s">
        <v>177</v>
      </c>
    </row>
    <row r="16">
      <c r="A16" s="13" t="s">
        <v>75</v>
      </c>
      <c r="B16" s="13" t="s">
        <v>99</v>
      </c>
      <c r="C16" s="25" t="str">
        <f>+91 95949 18007</f>
        <v>#ERROR!</v>
      </c>
      <c r="D16" s="19" t="s">
        <v>180</v>
      </c>
      <c r="E16" s="20">
        <v>4.8</v>
      </c>
      <c r="F16" s="20">
        <v>2589.0</v>
      </c>
      <c r="G16" s="20">
        <v>15.0</v>
      </c>
      <c r="H16" s="21" t="s">
        <v>98</v>
      </c>
      <c r="I16" s="21" t="s">
        <v>33</v>
      </c>
      <c r="J16" s="21" t="s">
        <v>33</v>
      </c>
      <c r="K16" s="23" t="s">
        <v>183</v>
      </c>
      <c r="L16" s="23" t="s">
        <v>186</v>
      </c>
    </row>
    <row r="17">
      <c r="A17" s="13" t="s">
        <v>75</v>
      </c>
      <c r="B17" s="13" t="s">
        <v>188</v>
      </c>
      <c r="C17" s="25" t="str">
        <f>+91 98336 99346</f>
        <v>#ERROR!</v>
      </c>
      <c r="D17" s="19" t="s">
        <v>192</v>
      </c>
      <c r="E17" s="20">
        <v>4.7</v>
      </c>
      <c r="F17" s="20">
        <v>862.0</v>
      </c>
      <c r="G17" s="20">
        <v>16.0</v>
      </c>
      <c r="H17" s="21" t="s">
        <v>194</v>
      </c>
      <c r="I17" s="21" t="s">
        <v>33</v>
      </c>
      <c r="J17" s="21" t="s">
        <v>33</v>
      </c>
      <c r="K17" s="23" t="s">
        <v>195</v>
      </c>
      <c r="L17" s="23" t="s">
        <v>197</v>
      </c>
    </row>
    <row r="18">
      <c r="A18" s="13" t="s">
        <v>75</v>
      </c>
      <c r="B18" s="13" t="s">
        <v>76</v>
      </c>
      <c r="C18" s="25" t="str">
        <f>+91 95945 75707</f>
        <v>#ERROR!</v>
      </c>
      <c r="D18" s="19" t="s">
        <v>200</v>
      </c>
      <c r="E18" s="20">
        <v>4.9</v>
      </c>
      <c r="F18" s="20">
        <v>633.0</v>
      </c>
      <c r="G18" s="20">
        <v>17.0</v>
      </c>
      <c r="H18" s="21" t="s">
        <v>74</v>
      </c>
      <c r="I18" s="21" t="s">
        <v>33</v>
      </c>
      <c r="J18" s="21" t="s">
        <v>33</v>
      </c>
      <c r="K18" s="23" t="s">
        <v>204</v>
      </c>
      <c r="L18" s="23" t="s">
        <v>205</v>
      </c>
    </row>
    <row r="19">
      <c r="A19" s="13" t="s">
        <v>75</v>
      </c>
      <c r="B19" s="13" t="s">
        <v>208</v>
      </c>
      <c r="C19" s="25" t="str">
        <f>+91 90049 99948</f>
        <v>#ERROR!</v>
      </c>
      <c r="D19" s="19" t="s">
        <v>209</v>
      </c>
      <c r="E19" s="20">
        <v>4.9</v>
      </c>
      <c r="F19" s="20">
        <v>79.0</v>
      </c>
      <c r="G19" s="20">
        <v>18.0</v>
      </c>
      <c r="H19" s="21" t="s">
        <v>211</v>
      </c>
      <c r="I19" s="21" t="s">
        <v>33</v>
      </c>
      <c r="J19" s="21" t="s">
        <v>33</v>
      </c>
      <c r="K19" s="21" t="s">
        <v>33</v>
      </c>
      <c r="L19" s="21" t="s">
        <v>33</v>
      </c>
    </row>
    <row r="20">
      <c r="A20" s="13" t="s">
        <v>75</v>
      </c>
      <c r="B20" s="13" t="s">
        <v>213</v>
      </c>
      <c r="C20" s="25" t="str">
        <f>+91 88504 31372</f>
        <v>#ERROR!</v>
      </c>
      <c r="D20" s="19" t="s">
        <v>216</v>
      </c>
      <c r="E20" s="20">
        <v>4.5</v>
      </c>
      <c r="F20" s="20">
        <v>103.0</v>
      </c>
      <c r="G20" s="20">
        <v>19.0</v>
      </c>
      <c r="H20" s="21" t="s">
        <v>217</v>
      </c>
      <c r="I20" s="21" t="s">
        <v>33</v>
      </c>
      <c r="J20" s="21" t="s">
        <v>33</v>
      </c>
      <c r="K20" s="23" t="s">
        <v>218</v>
      </c>
      <c r="L20" s="23" t="s">
        <v>221</v>
      </c>
    </row>
    <row r="21">
      <c r="A21" s="13" t="s">
        <v>75</v>
      </c>
      <c r="B21" s="13" t="s">
        <v>222</v>
      </c>
      <c r="C21" s="25" t="str">
        <f>+91 91376 47501</f>
        <v>#ERROR!</v>
      </c>
      <c r="D21" s="19" t="s">
        <v>224</v>
      </c>
      <c r="E21" s="20">
        <v>4.6</v>
      </c>
      <c r="F21" s="20">
        <v>174.0</v>
      </c>
      <c r="G21" s="20">
        <v>20.0</v>
      </c>
      <c r="H21" s="21" t="s">
        <v>229</v>
      </c>
      <c r="I21" s="21" t="s">
        <v>33</v>
      </c>
      <c r="J21" s="21" t="s">
        <v>33</v>
      </c>
      <c r="K21" s="23" t="s">
        <v>230</v>
      </c>
      <c r="L21" s="23" t="s">
        <v>231</v>
      </c>
    </row>
    <row r="22">
      <c r="A22" s="13" t="s">
        <v>68</v>
      </c>
      <c r="B22" s="13" t="s">
        <v>168</v>
      </c>
      <c r="C22" s="25" t="str">
        <f>+91 84335 89999</f>
        <v>#ERROR!</v>
      </c>
      <c r="D22" s="19" t="s">
        <v>234</v>
      </c>
      <c r="E22" s="20">
        <v>4.7</v>
      </c>
      <c r="F22" s="20">
        <v>1340.0</v>
      </c>
      <c r="G22" s="20">
        <v>21.0</v>
      </c>
      <c r="H22" s="21" t="s">
        <v>167</v>
      </c>
      <c r="I22" s="21" t="s">
        <v>171</v>
      </c>
      <c r="J22" s="23" t="s">
        <v>236</v>
      </c>
      <c r="K22" s="23" t="s">
        <v>238</v>
      </c>
      <c r="L22" s="23" t="s">
        <v>241</v>
      </c>
    </row>
    <row r="23">
      <c r="A23" s="13" t="s">
        <v>68</v>
      </c>
      <c r="B23" s="13" t="s">
        <v>242</v>
      </c>
      <c r="C23" s="25" t="str">
        <f>+91 83696 08923</f>
        <v>#ERROR!</v>
      </c>
      <c r="D23" s="19" t="s">
        <v>244</v>
      </c>
      <c r="E23" s="20">
        <v>4.9</v>
      </c>
      <c r="F23" s="20">
        <v>169.0</v>
      </c>
      <c r="G23" s="20">
        <v>22.0</v>
      </c>
      <c r="H23" s="21" t="s">
        <v>247</v>
      </c>
      <c r="I23" s="21" t="s">
        <v>248</v>
      </c>
      <c r="J23" s="23" t="s">
        <v>249</v>
      </c>
      <c r="K23" s="23" t="s">
        <v>250</v>
      </c>
      <c r="L23" s="23" t="s">
        <v>255</v>
      </c>
    </row>
    <row r="24">
      <c r="A24" s="13" t="s">
        <v>68</v>
      </c>
      <c r="B24" s="13" t="s">
        <v>127</v>
      </c>
      <c r="C24" s="25" t="str">
        <f>+91 88792 39044</f>
        <v>#ERROR!</v>
      </c>
      <c r="D24" s="19" t="s">
        <v>257</v>
      </c>
      <c r="E24" s="20">
        <v>4.7</v>
      </c>
      <c r="F24" s="20">
        <v>342.0</v>
      </c>
      <c r="G24" s="20">
        <v>23.0</v>
      </c>
      <c r="H24" s="21" t="s">
        <v>125</v>
      </c>
      <c r="I24" s="21" t="s">
        <v>33</v>
      </c>
      <c r="J24" s="23" t="s">
        <v>129</v>
      </c>
      <c r="K24" s="23" t="s">
        <v>261</v>
      </c>
      <c r="L24" s="23" t="s">
        <v>264</v>
      </c>
    </row>
    <row r="25">
      <c r="A25" s="13" t="s">
        <v>68</v>
      </c>
      <c r="B25" s="13" t="s">
        <v>265</v>
      </c>
      <c r="C25" s="25" t="str">
        <f>+91 91461 91916</f>
        <v>#ERROR!</v>
      </c>
      <c r="D25" s="19" t="s">
        <v>269</v>
      </c>
      <c r="E25" s="20">
        <v>4.8</v>
      </c>
      <c r="F25" s="20">
        <v>1284.0</v>
      </c>
      <c r="G25" s="20">
        <v>24.0</v>
      </c>
      <c r="H25" s="21" t="s">
        <v>271</v>
      </c>
      <c r="I25" s="21" t="s">
        <v>51</v>
      </c>
      <c r="J25" s="21" t="s">
        <v>33</v>
      </c>
      <c r="K25" s="23" t="s">
        <v>54</v>
      </c>
      <c r="L25" s="23" t="s">
        <v>56</v>
      </c>
    </row>
    <row r="26">
      <c r="A26" s="13" t="s">
        <v>68</v>
      </c>
      <c r="B26" s="13" t="s">
        <v>272</v>
      </c>
      <c r="C26" s="25" t="str">
        <f>+91 86938 39862</f>
        <v>#ERROR!</v>
      </c>
      <c r="D26" s="19" t="s">
        <v>275</v>
      </c>
      <c r="E26" s="20">
        <v>4.7</v>
      </c>
      <c r="F26" s="20">
        <v>435.0</v>
      </c>
      <c r="G26" s="20">
        <v>25.0</v>
      </c>
      <c r="H26" s="21" t="s">
        <v>277</v>
      </c>
      <c r="I26" s="21" t="s">
        <v>33</v>
      </c>
      <c r="J26" s="21" t="s">
        <v>33</v>
      </c>
      <c r="K26" s="23" t="s">
        <v>278</v>
      </c>
      <c r="L26" s="23" t="s">
        <v>281</v>
      </c>
    </row>
    <row r="27">
      <c r="A27" s="13" t="s">
        <v>68</v>
      </c>
      <c r="B27" s="13" t="s">
        <v>285</v>
      </c>
      <c r="C27" s="25" t="str">
        <f>+91 75079 99555</f>
        <v>#ERROR!</v>
      </c>
      <c r="D27" s="19" t="s">
        <v>286</v>
      </c>
      <c r="E27" s="20">
        <v>4.9</v>
      </c>
      <c r="F27" s="20">
        <v>188.0</v>
      </c>
      <c r="G27" s="20">
        <v>26.0</v>
      </c>
      <c r="H27" s="21" t="s">
        <v>287</v>
      </c>
      <c r="I27" s="21" t="s">
        <v>33</v>
      </c>
      <c r="J27" s="21" t="s">
        <v>33</v>
      </c>
      <c r="K27" s="23" t="s">
        <v>288</v>
      </c>
      <c r="L27" s="23" t="s">
        <v>292</v>
      </c>
    </row>
    <row r="28">
      <c r="A28" s="13" t="s">
        <v>68</v>
      </c>
      <c r="B28" s="13" t="s">
        <v>293</v>
      </c>
      <c r="C28" s="25" t="str">
        <f>+91 84510 96123</f>
        <v>#ERROR!</v>
      </c>
      <c r="D28" s="19" t="s">
        <v>294</v>
      </c>
      <c r="E28" s="20">
        <v>4.3</v>
      </c>
      <c r="F28" s="20">
        <v>184.0</v>
      </c>
      <c r="G28" s="20">
        <v>27.0</v>
      </c>
      <c r="H28" s="21" t="s">
        <v>297</v>
      </c>
      <c r="I28" s="21" t="s">
        <v>33</v>
      </c>
      <c r="J28" s="21" t="s">
        <v>33</v>
      </c>
      <c r="K28" s="23" t="s">
        <v>298</v>
      </c>
      <c r="L28" s="23" t="s">
        <v>300</v>
      </c>
    </row>
    <row r="29">
      <c r="A29" s="13" t="s">
        <v>68</v>
      </c>
      <c r="B29" s="13" t="s">
        <v>301</v>
      </c>
      <c r="C29" s="25" t="str">
        <f>+91 88283 08182</f>
        <v>#ERROR!</v>
      </c>
      <c r="D29" s="19" t="s">
        <v>302</v>
      </c>
      <c r="E29" s="20">
        <v>5.0</v>
      </c>
      <c r="F29" s="20">
        <v>191.0</v>
      </c>
      <c r="G29" s="20">
        <v>28.0</v>
      </c>
      <c r="H29" s="21" t="s">
        <v>304</v>
      </c>
      <c r="I29" s="21" t="s">
        <v>33</v>
      </c>
      <c r="J29" s="21" t="s">
        <v>33</v>
      </c>
      <c r="K29" s="23" t="s">
        <v>305</v>
      </c>
      <c r="L29" s="23" t="s">
        <v>306</v>
      </c>
    </row>
    <row r="30">
      <c r="A30" s="13" t="s">
        <v>68</v>
      </c>
      <c r="B30" s="13" t="s">
        <v>69</v>
      </c>
      <c r="C30" s="25" t="str">
        <f>+91 89286 03693</f>
        <v>#ERROR!</v>
      </c>
      <c r="D30" s="19" t="s">
        <v>310</v>
      </c>
      <c r="E30" s="20">
        <v>4.8</v>
      </c>
      <c r="F30" s="20">
        <v>136.0</v>
      </c>
      <c r="G30" s="20">
        <v>29.0</v>
      </c>
      <c r="H30" s="21" t="s">
        <v>66</v>
      </c>
      <c r="I30" s="21" t="s">
        <v>33</v>
      </c>
      <c r="J30" s="21" t="s">
        <v>33</v>
      </c>
      <c r="K30" s="23" t="s">
        <v>311</v>
      </c>
      <c r="L30" s="21" t="s">
        <v>33</v>
      </c>
    </row>
    <row r="31">
      <c r="A31" s="13" t="s">
        <v>68</v>
      </c>
      <c r="B31" s="13" t="s">
        <v>93</v>
      </c>
      <c r="C31" s="25" t="str">
        <f>+91 99676 41791</f>
        <v>#ERROR!</v>
      </c>
      <c r="D31" s="19" t="s">
        <v>314</v>
      </c>
      <c r="E31" s="20">
        <v>4.7</v>
      </c>
      <c r="F31" s="20">
        <v>407.0</v>
      </c>
      <c r="G31" s="20">
        <v>30.0</v>
      </c>
      <c r="H31" s="21" t="s">
        <v>92</v>
      </c>
      <c r="I31" s="21" t="s">
        <v>33</v>
      </c>
      <c r="J31" s="21" t="s">
        <v>33</v>
      </c>
      <c r="K31" s="23" t="s">
        <v>315</v>
      </c>
      <c r="L31" s="23" t="s">
        <v>318</v>
      </c>
    </row>
    <row r="32">
      <c r="A32" s="13" t="s">
        <v>252</v>
      </c>
      <c r="B32" s="13" t="s">
        <v>319</v>
      </c>
      <c r="C32" s="25" t="str">
        <f>+91 93213 98773</f>
        <v>#ERROR!</v>
      </c>
      <c r="D32" s="19" t="s">
        <v>320</v>
      </c>
      <c r="E32" s="20">
        <v>4.8</v>
      </c>
      <c r="F32" s="20">
        <v>357.0</v>
      </c>
      <c r="G32" s="20">
        <v>31.0</v>
      </c>
      <c r="H32" s="21" t="s">
        <v>323</v>
      </c>
      <c r="I32" s="21" t="s">
        <v>324</v>
      </c>
      <c r="J32" s="23" t="s">
        <v>326</v>
      </c>
      <c r="K32" s="23" t="s">
        <v>327</v>
      </c>
      <c r="L32" s="23" t="s">
        <v>330</v>
      </c>
    </row>
    <row r="33">
      <c r="A33" s="13" t="s">
        <v>252</v>
      </c>
      <c r="B33" s="13" t="s">
        <v>332</v>
      </c>
      <c r="C33" s="25" t="str">
        <f>+91 90225 54999</f>
        <v>#ERROR!</v>
      </c>
      <c r="D33" s="19" t="s">
        <v>333</v>
      </c>
      <c r="E33" s="20">
        <v>4.7</v>
      </c>
      <c r="F33" s="20">
        <v>392.0</v>
      </c>
      <c r="G33" s="20">
        <v>32.0</v>
      </c>
      <c r="H33" s="21" t="s">
        <v>336</v>
      </c>
      <c r="I33" s="21" t="s">
        <v>337</v>
      </c>
      <c r="J33" s="23" t="s">
        <v>338</v>
      </c>
      <c r="K33" s="21" t="s">
        <v>33</v>
      </c>
      <c r="L33" s="21" t="s">
        <v>33</v>
      </c>
    </row>
    <row r="34">
      <c r="A34" s="13" t="s">
        <v>252</v>
      </c>
      <c r="B34" s="13" t="s">
        <v>340</v>
      </c>
      <c r="C34" s="14" t="s">
        <v>122</v>
      </c>
      <c r="D34" s="19" t="s">
        <v>341</v>
      </c>
      <c r="E34" s="20">
        <v>4.8</v>
      </c>
      <c r="F34" s="20">
        <v>100.0</v>
      </c>
      <c r="G34" s="20">
        <v>33.0</v>
      </c>
      <c r="H34" s="21" t="s">
        <v>342</v>
      </c>
      <c r="I34" s="21" t="s">
        <v>33</v>
      </c>
      <c r="J34" s="21" t="s">
        <v>33</v>
      </c>
      <c r="K34" s="23" t="s">
        <v>343</v>
      </c>
      <c r="L34" s="23" t="s">
        <v>344</v>
      </c>
    </row>
    <row r="35">
      <c r="A35" s="13" t="s">
        <v>252</v>
      </c>
      <c r="B35" s="13" t="s">
        <v>347</v>
      </c>
      <c r="C35" s="25" t="str">
        <f>+91 98214 49296</f>
        <v>#ERROR!</v>
      </c>
      <c r="D35" s="19" t="s">
        <v>348</v>
      </c>
      <c r="E35" s="20">
        <v>4.8</v>
      </c>
      <c r="F35" s="20">
        <v>118.0</v>
      </c>
      <c r="G35" s="20">
        <v>34.0</v>
      </c>
      <c r="H35" s="21" t="s">
        <v>349</v>
      </c>
      <c r="I35" s="21" t="s">
        <v>33</v>
      </c>
      <c r="J35" s="21" t="s">
        <v>33</v>
      </c>
      <c r="K35" s="21" t="s">
        <v>33</v>
      </c>
      <c r="L35" s="21" t="s">
        <v>33</v>
      </c>
    </row>
    <row r="36">
      <c r="A36" s="13" t="s">
        <v>252</v>
      </c>
      <c r="B36" s="13" t="s">
        <v>350</v>
      </c>
      <c r="C36" s="25" t="str">
        <f>+91 77688 79921</f>
        <v>#ERROR!</v>
      </c>
      <c r="D36" s="19" t="s">
        <v>352</v>
      </c>
      <c r="E36" s="20">
        <v>5.0</v>
      </c>
      <c r="F36" s="20">
        <v>209.0</v>
      </c>
      <c r="G36" s="20">
        <v>35.0</v>
      </c>
      <c r="H36" s="21" t="s">
        <v>358</v>
      </c>
      <c r="I36" s="21" t="s">
        <v>33</v>
      </c>
      <c r="J36" s="21" t="s">
        <v>33</v>
      </c>
      <c r="K36" s="21" t="s">
        <v>33</v>
      </c>
      <c r="L36" s="21" t="s">
        <v>33</v>
      </c>
    </row>
    <row r="37">
      <c r="A37" s="13" t="s">
        <v>252</v>
      </c>
      <c r="B37" s="13" t="s">
        <v>253</v>
      </c>
      <c r="C37" s="25" t="str">
        <f>+91 80977 34167</f>
        <v>#ERROR!</v>
      </c>
      <c r="D37" s="19" t="s">
        <v>359</v>
      </c>
      <c r="E37" s="20">
        <v>4.7</v>
      </c>
      <c r="F37" s="20">
        <v>260.0</v>
      </c>
      <c r="G37" s="20">
        <v>36.0</v>
      </c>
      <c r="H37" s="21" t="s">
        <v>251</v>
      </c>
      <c r="I37" s="21" t="s">
        <v>33</v>
      </c>
      <c r="J37" s="21" t="s">
        <v>33</v>
      </c>
      <c r="K37" s="21" t="s">
        <v>33</v>
      </c>
      <c r="L37" s="21" t="s">
        <v>33</v>
      </c>
    </row>
    <row r="38">
      <c r="A38" s="13" t="s">
        <v>252</v>
      </c>
      <c r="B38" s="13" t="s">
        <v>360</v>
      </c>
      <c r="C38" s="25" t="str">
        <f>+91 90828 20128</f>
        <v>#ERROR!</v>
      </c>
      <c r="D38" s="19" t="s">
        <v>361</v>
      </c>
      <c r="E38" s="20">
        <v>4.3</v>
      </c>
      <c r="F38" s="20">
        <v>46.0</v>
      </c>
      <c r="G38" s="20">
        <v>37.0</v>
      </c>
      <c r="H38" s="21" t="s">
        <v>365</v>
      </c>
      <c r="I38" s="21" t="s">
        <v>33</v>
      </c>
      <c r="J38" s="21" t="s">
        <v>33</v>
      </c>
      <c r="K38" s="23" t="s">
        <v>366</v>
      </c>
      <c r="L38" s="23" t="s">
        <v>344</v>
      </c>
    </row>
    <row r="39">
      <c r="A39" s="13" t="s">
        <v>252</v>
      </c>
      <c r="B39" s="13" t="s">
        <v>296</v>
      </c>
      <c r="C39" s="25" t="str">
        <f>+91 93723 00166</f>
        <v>#ERROR!</v>
      </c>
      <c r="D39" s="19" t="s">
        <v>367</v>
      </c>
      <c r="E39" s="20">
        <v>4.6</v>
      </c>
      <c r="F39" s="20">
        <v>134.0</v>
      </c>
      <c r="G39" s="20">
        <v>38.0</v>
      </c>
      <c r="H39" s="21" t="s">
        <v>295</v>
      </c>
      <c r="I39" s="21" t="s">
        <v>33</v>
      </c>
      <c r="J39" s="21" t="s">
        <v>33</v>
      </c>
      <c r="K39" s="21" t="s">
        <v>33</v>
      </c>
      <c r="L39" s="21" t="s">
        <v>33</v>
      </c>
    </row>
    <row r="40">
      <c r="A40" s="13" t="s">
        <v>252</v>
      </c>
      <c r="B40" s="13" t="s">
        <v>370</v>
      </c>
      <c r="C40" s="25" t="str">
        <f>+91 90829 55754</f>
        <v>#ERROR!</v>
      </c>
      <c r="D40" s="19" t="s">
        <v>371</v>
      </c>
      <c r="E40" s="20">
        <v>5.0</v>
      </c>
      <c r="F40" s="20">
        <v>60.0</v>
      </c>
      <c r="G40" s="20">
        <v>39.0</v>
      </c>
      <c r="H40" s="21" t="s">
        <v>372</v>
      </c>
      <c r="I40" s="21" t="s">
        <v>33</v>
      </c>
      <c r="J40" s="21" t="s">
        <v>33</v>
      </c>
      <c r="K40" s="21" t="s">
        <v>33</v>
      </c>
      <c r="L40" s="21" t="s">
        <v>33</v>
      </c>
    </row>
    <row r="41">
      <c r="A41" s="13" t="s">
        <v>373</v>
      </c>
      <c r="B41" s="13" t="s">
        <v>374</v>
      </c>
      <c r="C41" s="25" t="str">
        <f>+91 97692 10962</f>
        <v>#ERROR!</v>
      </c>
      <c r="D41" s="19" t="s">
        <v>376</v>
      </c>
      <c r="E41" s="20">
        <v>5.0</v>
      </c>
      <c r="F41" s="20">
        <v>85.0</v>
      </c>
      <c r="G41" s="20">
        <v>40.0</v>
      </c>
      <c r="H41" s="21" t="s">
        <v>379</v>
      </c>
      <c r="I41" s="21" t="s">
        <v>33</v>
      </c>
      <c r="J41" s="21" t="s">
        <v>33</v>
      </c>
      <c r="K41" s="21" t="s">
        <v>33</v>
      </c>
      <c r="L41" s="21" t="s">
        <v>33</v>
      </c>
    </row>
    <row r="42">
      <c r="A42" s="13" t="s">
        <v>151</v>
      </c>
      <c r="B42" s="13" t="s">
        <v>198</v>
      </c>
      <c r="C42" s="25" t="str">
        <f>+91 80835 35352</f>
        <v>#ERROR!</v>
      </c>
      <c r="D42" s="19" t="s">
        <v>380</v>
      </c>
      <c r="E42" s="20">
        <v>4.7</v>
      </c>
      <c r="F42" s="20">
        <v>470.0</v>
      </c>
      <c r="G42" s="20">
        <v>41.0</v>
      </c>
      <c r="H42" s="21" t="s">
        <v>196</v>
      </c>
      <c r="I42" s="21" t="s">
        <v>33</v>
      </c>
      <c r="J42" s="21" t="s">
        <v>33</v>
      </c>
      <c r="K42" s="21" t="s">
        <v>33</v>
      </c>
      <c r="L42" s="21" t="s">
        <v>33</v>
      </c>
    </row>
    <row r="43">
      <c r="A43" s="13" t="s">
        <v>151</v>
      </c>
      <c r="B43" s="13" t="s">
        <v>377</v>
      </c>
      <c r="C43" s="25" t="str">
        <f>+91 93217 50750</f>
        <v>#ERROR!</v>
      </c>
      <c r="D43" s="19" t="s">
        <v>383</v>
      </c>
      <c r="E43" s="20">
        <v>4.6</v>
      </c>
      <c r="F43" s="20">
        <v>610.0</v>
      </c>
      <c r="G43" s="20">
        <v>42.0</v>
      </c>
      <c r="H43" s="21" t="s">
        <v>375</v>
      </c>
      <c r="I43" s="21" t="s">
        <v>33</v>
      </c>
      <c r="J43" s="21" t="s">
        <v>33</v>
      </c>
      <c r="K43" s="21" t="s">
        <v>33</v>
      </c>
      <c r="L43" s="21" t="s">
        <v>33</v>
      </c>
    </row>
    <row r="44">
      <c r="A44" s="13" t="s">
        <v>151</v>
      </c>
      <c r="B44" s="13" t="s">
        <v>385</v>
      </c>
      <c r="C44" s="25" t="str">
        <f>+91 99305 62521</f>
        <v>#ERROR!</v>
      </c>
      <c r="D44" s="19" t="s">
        <v>386</v>
      </c>
      <c r="E44" s="20">
        <v>4.3</v>
      </c>
      <c r="F44" s="20">
        <v>370.0</v>
      </c>
      <c r="G44" s="20">
        <v>43.0</v>
      </c>
      <c r="H44" s="21" t="s">
        <v>387</v>
      </c>
      <c r="I44" s="21" t="s">
        <v>33</v>
      </c>
      <c r="J44" s="21" t="s">
        <v>33</v>
      </c>
      <c r="K44" s="23" t="s">
        <v>388</v>
      </c>
      <c r="L44" s="23" t="s">
        <v>389</v>
      </c>
    </row>
    <row r="45">
      <c r="A45" s="13" t="s">
        <v>151</v>
      </c>
      <c r="B45" s="13" t="s">
        <v>391</v>
      </c>
      <c r="C45" s="14" t="s">
        <v>122</v>
      </c>
      <c r="D45" s="19" t="s">
        <v>392</v>
      </c>
      <c r="E45" s="20">
        <v>4.8</v>
      </c>
      <c r="F45" s="20">
        <v>399.0</v>
      </c>
      <c r="G45" s="20">
        <v>44.0</v>
      </c>
      <c r="H45" s="21" t="s">
        <v>395</v>
      </c>
      <c r="I45" s="21" t="s">
        <v>33</v>
      </c>
      <c r="J45" s="21" t="s">
        <v>33</v>
      </c>
      <c r="K45" s="23" t="s">
        <v>396</v>
      </c>
      <c r="L45" s="23" t="s">
        <v>398</v>
      </c>
    </row>
    <row r="46">
      <c r="A46" s="13" t="s">
        <v>151</v>
      </c>
      <c r="B46" s="13" t="s">
        <v>202</v>
      </c>
      <c r="C46" s="25" t="str">
        <f>+91 98924 85426</f>
        <v>#ERROR!</v>
      </c>
      <c r="D46" s="19" t="s">
        <v>399</v>
      </c>
      <c r="E46" s="20">
        <v>4.9</v>
      </c>
      <c r="F46" s="20">
        <v>176.0</v>
      </c>
      <c r="G46" s="20">
        <v>45.0</v>
      </c>
      <c r="H46" s="21" t="s">
        <v>201</v>
      </c>
      <c r="I46" s="21" t="s">
        <v>33</v>
      </c>
      <c r="J46" s="21" t="s">
        <v>33</v>
      </c>
      <c r="K46" s="23" t="s">
        <v>401</v>
      </c>
      <c r="L46" s="23" t="s">
        <v>402</v>
      </c>
    </row>
    <row r="47">
      <c r="A47" s="13" t="s">
        <v>151</v>
      </c>
      <c r="B47" s="13" t="s">
        <v>405</v>
      </c>
      <c r="C47" s="25" t="str">
        <f>+91 97731 34617</f>
        <v>#ERROR!</v>
      </c>
      <c r="D47" s="19" t="s">
        <v>407</v>
      </c>
      <c r="E47" s="20">
        <v>4.5</v>
      </c>
      <c r="F47" s="20">
        <v>401.0</v>
      </c>
      <c r="G47" s="20">
        <v>46.0</v>
      </c>
      <c r="H47" s="21" t="s">
        <v>408</v>
      </c>
      <c r="I47" s="21" t="s">
        <v>33</v>
      </c>
      <c r="J47" s="21" t="s">
        <v>33</v>
      </c>
      <c r="K47" s="23" t="s">
        <v>409</v>
      </c>
      <c r="L47" s="23" t="s">
        <v>413</v>
      </c>
    </row>
    <row r="48">
      <c r="A48" s="13" t="s">
        <v>151</v>
      </c>
      <c r="B48" s="13" t="s">
        <v>415</v>
      </c>
      <c r="C48" s="25" t="str">
        <f>+91 90047 46939</f>
        <v>#ERROR!</v>
      </c>
      <c r="D48" s="19" t="s">
        <v>416</v>
      </c>
      <c r="E48" s="20">
        <v>4.8</v>
      </c>
      <c r="F48" s="20">
        <v>95.0</v>
      </c>
      <c r="G48" s="20">
        <v>47.0</v>
      </c>
      <c r="H48" s="21" t="s">
        <v>417</v>
      </c>
      <c r="I48" s="21" t="s">
        <v>33</v>
      </c>
      <c r="J48" s="21" t="s">
        <v>33</v>
      </c>
      <c r="K48" s="23" t="s">
        <v>418</v>
      </c>
      <c r="L48" s="21" t="s">
        <v>33</v>
      </c>
    </row>
    <row r="49">
      <c r="A49" s="13" t="s">
        <v>151</v>
      </c>
      <c r="B49" s="13" t="s">
        <v>420</v>
      </c>
      <c r="C49" s="25" t="str">
        <f>+91 74001 63731</f>
        <v>#ERROR!</v>
      </c>
      <c r="D49" s="19" t="s">
        <v>421</v>
      </c>
      <c r="E49" s="20">
        <v>4.8</v>
      </c>
      <c r="F49" s="20">
        <v>183.0</v>
      </c>
      <c r="G49" s="20">
        <v>48.0</v>
      </c>
      <c r="H49" s="21" t="s">
        <v>423</v>
      </c>
      <c r="I49" s="21" t="s">
        <v>33</v>
      </c>
      <c r="J49" s="21" t="s">
        <v>33</v>
      </c>
      <c r="K49" s="23" t="s">
        <v>425</v>
      </c>
      <c r="L49" s="23" t="s">
        <v>426</v>
      </c>
    </row>
    <row r="50">
      <c r="A50" s="13" t="s">
        <v>151</v>
      </c>
      <c r="B50" s="13" t="s">
        <v>152</v>
      </c>
      <c r="C50" s="25" t="str">
        <f>+91 73403 04141</f>
        <v>#ERROR!</v>
      </c>
      <c r="D50" s="19" t="s">
        <v>428</v>
      </c>
      <c r="E50" s="20">
        <v>4.8</v>
      </c>
      <c r="F50" s="20">
        <v>140.0</v>
      </c>
      <c r="G50" s="20">
        <v>49.0</v>
      </c>
      <c r="H50" s="21" t="s">
        <v>150</v>
      </c>
      <c r="I50" s="21" t="s">
        <v>33</v>
      </c>
      <c r="J50" s="21" t="s">
        <v>33</v>
      </c>
      <c r="K50" s="23" t="s">
        <v>429</v>
      </c>
      <c r="L50" s="23" t="s">
        <v>432</v>
      </c>
    </row>
    <row r="51">
      <c r="A51" s="13" t="s">
        <v>151</v>
      </c>
      <c r="B51" s="13" t="s">
        <v>433</v>
      </c>
      <c r="C51" s="25" t="str">
        <f>+91 81080 57050</f>
        <v>#ERROR!</v>
      </c>
      <c r="D51" s="19" t="s">
        <v>434</v>
      </c>
      <c r="E51" s="20">
        <v>4.2</v>
      </c>
      <c r="F51" s="20">
        <v>851.0</v>
      </c>
      <c r="G51" s="20">
        <v>50.0</v>
      </c>
      <c r="H51" s="21" t="s">
        <v>435</v>
      </c>
      <c r="I51" s="21" t="s">
        <v>33</v>
      </c>
      <c r="J51" s="21" t="s">
        <v>33</v>
      </c>
      <c r="K51" s="23" t="s">
        <v>436</v>
      </c>
      <c r="L51" s="23" t="s">
        <v>438</v>
      </c>
    </row>
    <row r="52">
      <c r="A52" s="13" t="s">
        <v>353</v>
      </c>
      <c r="B52" s="13" t="s">
        <v>354</v>
      </c>
      <c r="C52" s="25" t="str">
        <f>+91 76665 17777</f>
        <v>#ERROR!</v>
      </c>
      <c r="D52" s="19" t="s">
        <v>440</v>
      </c>
      <c r="E52" s="20">
        <v>5.0</v>
      </c>
      <c r="F52" s="20">
        <v>1248.0</v>
      </c>
      <c r="G52" s="20">
        <v>51.0</v>
      </c>
      <c r="H52" s="21" t="s">
        <v>351</v>
      </c>
      <c r="I52" s="21" t="s">
        <v>356</v>
      </c>
      <c r="J52" s="23" t="s">
        <v>443</v>
      </c>
      <c r="K52" s="23" t="s">
        <v>444</v>
      </c>
      <c r="L52" s="23" t="s">
        <v>447</v>
      </c>
    </row>
    <row r="53">
      <c r="A53" s="13" t="s">
        <v>151</v>
      </c>
      <c r="B53" s="13" t="s">
        <v>449</v>
      </c>
      <c r="C53" s="25" t="str">
        <f>+91 80820 17870</f>
        <v>#ERROR!</v>
      </c>
      <c r="D53" s="19" t="s">
        <v>450</v>
      </c>
      <c r="E53" s="20">
        <v>5.0</v>
      </c>
      <c r="F53" s="20">
        <v>11.0</v>
      </c>
      <c r="G53" s="20">
        <v>52.0</v>
      </c>
      <c r="H53" s="21" t="s">
        <v>451</v>
      </c>
      <c r="I53" s="21" t="s">
        <v>33</v>
      </c>
      <c r="J53" s="21" t="s">
        <v>33</v>
      </c>
      <c r="K53" s="21" t="s">
        <v>33</v>
      </c>
      <c r="L53" s="21" t="s">
        <v>33</v>
      </c>
    </row>
    <row r="54">
      <c r="A54" s="13" t="s">
        <v>151</v>
      </c>
      <c r="B54" s="13" t="s">
        <v>245</v>
      </c>
      <c r="C54" s="25" t="str">
        <f>+91 89761 04020</f>
        <v>#ERROR!</v>
      </c>
      <c r="D54" s="19" t="s">
        <v>452</v>
      </c>
      <c r="E54" s="20">
        <v>5.0</v>
      </c>
      <c r="F54" s="20">
        <v>29.0</v>
      </c>
      <c r="G54" s="20">
        <v>53.0</v>
      </c>
      <c r="H54" s="21" t="s">
        <v>243</v>
      </c>
      <c r="I54" s="21" t="s">
        <v>33</v>
      </c>
      <c r="J54" s="21" t="s">
        <v>33</v>
      </c>
      <c r="K54" s="21" t="s">
        <v>33</v>
      </c>
      <c r="L54" s="21" t="s">
        <v>33</v>
      </c>
    </row>
    <row r="55">
      <c r="A55" s="13" t="s">
        <v>43</v>
      </c>
      <c r="B55" s="13" t="s">
        <v>456</v>
      </c>
      <c r="C55" s="14" t="s">
        <v>122</v>
      </c>
      <c r="D55" s="19" t="s">
        <v>457</v>
      </c>
      <c r="E55" s="20">
        <v>4.7</v>
      </c>
      <c r="F55" s="20">
        <v>47.0</v>
      </c>
      <c r="G55" s="20">
        <v>54.0</v>
      </c>
      <c r="H55" s="21" t="s">
        <v>458</v>
      </c>
      <c r="I55" s="21" t="s">
        <v>33</v>
      </c>
      <c r="J55" s="21" t="s">
        <v>33</v>
      </c>
      <c r="K55" s="21" t="s">
        <v>33</v>
      </c>
      <c r="L55" s="21" t="s">
        <v>33</v>
      </c>
    </row>
    <row r="56">
      <c r="A56" s="13" t="s">
        <v>43</v>
      </c>
      <c r="B56" s="13" t="s">
        <v>233</v>
      </c>
      <c r="C56" s="25" t="str">
        <f>+91 73043 99220</f>
        <v>#ERROR!</v>
      </c>
      <c r="D56" s="19" t="s">
        <v>459</v>
      </c>
      <c r="E56" s="20">
        <v>4.8</v>
      </c>
      <c r="F56" s="20">
        <v>38.0</v>
      </c>
      <c r="G56" s="20">
        <v>55.0</v>
      </c>
      <c r="H56" s="21" t="s">
        <v>232</v>
      </c>
      <c r="I56" s="21" t="s">
        <v>33</v>
      </c>
      <c r="J56" s="21" t="s">
        <v>33</v>
      </c>
      <c r="K56" s="21" t="s">
        <v>33</v>
      </c>
      <c r="L56" s="21" t="s">
        <v>33</v>
      </c>
    </row>
    <row r="57">
      <c r="A57" s="13" t="s">
        <v>43</v>
      </c>
      <c r="B57" s="13" t="s">
        <v>44</v>
      </c>
      <c r="C57" s="25" t="str">
        <f>+91 95944 14178</f>
        <v>#ERROR!</v>
      </c>
      <c r="D57" s="19" t="s">
        <v>461</v>
      </c>
      <c r="E57" s="20">
        <v>4.7</v>
      </c>
      <c r="F57" s="20">
        <v>136.0</v>
      </c>
      <c r="G57" s="20">
        <v>56.0</v>
      </c>
      <c r="H57" s="21" t="s">
        <v>42</v>
      </c>
      <c r="I57" s="21" t="s">
        <v>33</v>
      </c>
      <c r="J57" s="21" t="s">
        <v>33</v>
      </c>
      <c r="K57" s="21" t="s">
        <v>33</v>
      </c>
      <c r="L57" s="21" t="s">
        <v>33</v>
      </c>
    </row>
    <row r="58">
      <c r="A58" s="13" t="s">
        <v>43</v>
      </c>
      <c r="B58" s="13" t="s">
        <v>369</v>
      </c>
      <c r="C58" s="14" t="s">
        <v>122</v>
      </c>
      <c r="D58" s="19" t="s">
        <v>466</v>
      </c>
      <c r="E58" s="20">
        <v>4.9</v>
      </c>
      <c r="F58" s="20">
        <v>742.0</v>
      </c>
      <c r="G58" s="20">
        <v>57.0</v>
      </c>
      <c r="H58" s="21" t="s">
        <v>368</v>
      </c>
      <c r="I58" s="21" t="s">
        <v>33</v>
      </c>
      <c r="J58" s="21" t="s">
        <v>33</v>
      </c>
      <c r="K58" s="21" t="s">
        <v>33</v>
      </c>
      <c r="L58" s="21" t="s">
        <v>33</v>
      </c>
    </row>
    <row r="59">
      <c r="A59" s="13" t="s">
        <v>43</v>
      </c>
      <c r="B59" s="13" t="s">
        <v>262</v>
      </c>
      <c r="C59" s="25" t="str">
        <f>+91 86683 80880</f>
        <v>#ERROR!</v>
      </c>
      <c r="D59" s="19" t="s">
        <v>470</v>
      </c>
      <c r="E59" s="20">
        <v>4.7</v>
      </c>
      <c r="F59" s="20">
        <v>123.0</v>
      </c>
      <c r="G59" s="20">
        <v>58.0</v>
      </c>
      <c r="H59" s="21" t="s">
        <v>260</v>
      </c>
      <c r="I59" s="21" t="s">
        <v>33</v>
      </c>
      <c r="J59" s="21" t="s">
        <v>33</v>
      </c>
      <c r="K59" s="21" t="s">
        <v>33</v>
      </c>
      <c r="L59" s="21" t="s">
        <v>33</v>
      </c>
    </row>
    <row r="60">
      <c r="A60" s="13" t="s">
        <v>43</v>
      </c>
      <c r="B60" s="13" t="s">
        <v>258</v>
      </c>
      <c r="C60" s="25" t="str">
        <f>+91 91367 86296</f>
        <v>#ERROR!</v>
      </c>
      <c r="D60" s="19" t="s">
        <v>472</v>
      </c>
      <c r="E60" s="20">
        <v>4.1</v>
      </c>
      <c r="F60" s="20">
        <v>74.0</v>
      </c>
      <c r="G60" s="20">
        <v>59.0</v>
      </c>
      <c r="H60" s="21" t="s">
        <v>256</v>
      </c>
      <c r="I60" s="21" t="s">
        <v>33</v>
      </c>
      <c r="J60" s="21" t="s">
        <v>33</v>
      </c>
      <c r="K60" s="21" t="s">
        <v>33</v>
      </c>
      <c r="L60" s="21" t="s">
        <v>33</v>
      </c>
    </row>
    <row r="61">
      <c r="A61" s="13" t="s">
        <v>43</v>
      </c>
      <c r="B61" s="13" t="s">
        <v>475</v>
      </c>
      <c r="C61" s="25" t="str">
        <f>+91 91676 68669</f>
        <v>#ERROR!</v>
      </c>
      <c r="D61" s="19" t="s">
        <v>476</v>
      </c>
      <c r="E61" s="20">
        <v>4.7</v>
      </c>
      <c r="F61" s="20">
        <v>130.0</v>
      </c>
      <c r="G61" s="20">
        <v>60.0</v>
      </c>
      <c r="H61" s="21" t="s">
        <v>478</v>
      </c>
      <c r="I61" s="21" t="s">
        <v>33</v>
      </c>
      <c r="J61" s="21" t="s">
        <v>33</v>
      </c>
      <c r="K61" s="21" t="s">
        <v>33</v>
      </c>
      <c r="L61" s="21" t="s">
        <v>33</v>
      </c>
    </row>
    <row r="62">
      <c r="A62" s="13" t="s">
        <v>43</v>
      </c>
      <c r="B62" s="13" t="s">
        <v>164</v>
      </c>
      <c r="C62" s="14" t="s">
        <v>122</v>
      </c>
      <c r="D62" s="19" t="s">
        <v>480</v>
      </c>
      <c r="E62" s="20">
        <v>4.3</v>
      </c>
      <c r="F62" s="20">
        <v>35.0</v>
      </c>
      <c r="G62" s="20">
        <v>61.0</v>
      </c>
      <c r="H62" s="21" t="s">
        <v>482</v>
      </c>
      <c r="I62" s="21" t="s">
        <v>33</v>
      </c>
      <c r="J62" s="21" t="s">
        <v>33</v>
      </c>
      <c r="K62" s="21" t="s">
        <v>33</v>
      </c>
      <c r="L62" s="21" t="s">
        <v>33</v>
      </c>
    </row>
    <row r="63">
      <c r="A63" s="13" t="s">
        <v>43</v>
      </c>
      <c r="B63" s="13" t="s">
        <v>483</v>
      </c>
      <c r="C63" s="14" t="s">
        <v>122</v>
      </c>
      <c r="D63" s="19" t="s">
        <v>484</v>
      </c>
      <c r="E63" s="20">
        <v>5.0</v>
      </c>
      <c r="F63" s="20">
        <v>33.0</v>
      </c>
      <c r="G63" s="20">
        <v>62.0</v>
      </c>
      <c r="H63" s="21" t="s">
        <v>488</v>
      </c>
      <c r="I63" s="21" t="s">
        <v>33</v>
      </c>
      <c r="J63" s="21" t="s">
        <v>33</v>
      </c>
      <c r="K63" s="21" t="s">
        <v>33</v>
      </c>
      <c r="L63" s="21" t="s">
        <v>33</v>
      </c>
    </row>
    <row r="64">
      <c r="A64" s="13" t="s">
        <v>43</v>
      </c>
      <c r="B64" s="13" t="s">
        <v>404</v>
      </c>
      <c r="C64" s="25" t="str">
        <f>+91 88884 03579</f>
        <v>#ERROR!</v>
      </c>
      <c r="D64" s="19" t="s">
        <v>489</v>
      </c>
      <c r="E64" s="20">
        <v>4.9</v>
      </c>
      <c r="F64" s="20">
        <v>43.0</v>
      </c>
      <c r="G64" s="20">
        <v>63.0</v>
      </c>
      <c r="H64" s="21" t="s">
        <v>403</v>
      </c>
      <c r="I64" s="21" t="s">
        <v>33</v>
      </c>
      <c r="J64" s="21" t="s">
        <v>33</v>
      </c>
      <c r="K64" s="21" t="s">
        <v>33</v>
      </c>
      <c r="L64" s="21" t="s">
        <v>33</v>
      </c>
    </row>
    <row r="65">
      <c r="A65" s="13" t="s">
        <v>43</v>
      </c>
      <c r="B65" s="13" t="s">
        <v>492</v>
      </c>
      <c r="C65" s="14" t="s">
        <v>122</v>
      </c>
      <c r="D65" s="19" t="s">
        <v>494</v>
      </c>
      <c r="E65" s="20">
        <v>4.2</v>
      </c>
      <c r="F65" s="20">
        <v>219.0</v>
      </c>
      <c r="G65" s="20">
        <v>64.0</v>
      </c>
      <c r="H65" s="21" t="s">
        <v>495</v>
      </c>
      <c r="I65" s="21" t="s">
        <v>33</v>
      </c>
      <c r="J65" s="21" t="s">
        <v>33</v>
      </c>
      <c r="K65" s="21" t="s">
        <v>33</v>
      </c>
      <c r="L65" s="21" t="s">
        <v>33</v>
      </c>
    </row>
    <row r="66">
      <c r="A66" s="13" t="s">
        <v>35</v>
      </c>
      <c r="B66" s="13" t="s">
        <v>280</v>
      </c>
      <c r="C66" s="25" t="str">
        <f>+91 96199 95922</f>
        <v>#ERROR!</v>
      </c>
      <c r="D66" s="19" t="s">
        <v>496</v>
      </c>
      <c r="E66" s="20">
        <v>4.9</v>
      </c>
      <c r="F66" s="20">
        <v>209.0</v>
      </c>
      <c r="G66" s="20">
        <v>65.0</v>
      </c>
      <c r="H66" s="21" t="s">
        <v>279</v>
      </c>
      <c r="I66" s="21" t="s">
        <v>283</v>
      </c>
      <c r="J66" s="23" t="s">
        <v>500</v>
      </c>
      <c r="K66" s="23" t="s">
        <v>501</v>
      </c>
      <c r="L66" s="23" t="s">
        <v>502</v>
      </c>
    </row>
    <row r="67">
      <c r="A67" s="13" t="s">
        <v>35</v>
      </c>
      <c r="B67" s="13" t="s">
        <v>446</v>
      </c>
      <c r="C67" s="25" t="str">
        <f>+91 86554 18911</f>
        <v>#ERROR!</v>
      </c>
      <c r="D67" s="19" t="s">
        <v>506</v>
      </c>
      <c r="E67" s="20">
        <v>4.8</v>
      </c>
      <c r="F67" s="20">
        <v>357.0</v>
      </c>
      <c r="G67" s="20">
        <v>66.0</v>
      </c>
      <c r="H67" s="21" t="s">
        <v>445</v>
      </c>
      <c r="I67" s="21" t="s">
        <v>33</v>
      </c>
      <c r="J67" s="23" t="s">
        <v>507</v>
      </c>
      <c r="K67" s="23" t="s">
        <v>508</v>
      </c>
      <c r="L67" s="23" t="s">
        <v>41</v>
      </c>
    </row>
    <row r="68">
      <c r="A68" s="13" t="s">
        <v>35</v>
      </c>
      <c r="B68" s="13" t="s">
        <v>509</v>
      </c>
      <c r="C68" s="14" t="s">
        <v>122</v>
      </c>
      <c r="D68" s="19" t="s">
        <v>510</v>
      </c>
      <c r="E68" s="20">
        <v>4.6</v>
      </c>
      <c r="F68" s="20">
        <v>175.0</v>
      </c>
      <c r="G68" s="20">
        <v>67.0</v>
      </c>
      <c r="H68" s="21" t="s">
        <v>512</v>
      </c>
      <c r="I68" s="21" t="s">
        <v>33</v>
      </c>
      <c r="J68" s="21" t="s">
        <v>33</v>
      </c>
      <c r="K68" s="23" t="s">
        <v>513</v>
      </c>
      <c r="L68" s="23" t="s">
        <v>514</v>
      </c>
    </row>
    <row r="69">
      <c r="A69" s="13" t="s">
        <v>35</v>
      </c>
      <c r="B69" s="13" t="s">
        <v>441</v>
      </c>
      <c r="C69" s="25" t="str">
        <f>+91 79776 19543</f>
        <v>#ERROR!</v>
      </c>
      <c r="D69" s="19" t="s">
        <v>515</v>
      </c>
      <c r="E69" s="20">
        <v>4.5</v>
      </c>
      <c r="F69" s="20">
        <v>95.0</v>
      </c>
      <c r="G69" s="20">
        <v>68.0</v>
      </c>
      <c r="H69" s="21" t="s">
        <v>439</v>
      </c>
      <c r="I69" s="21" t="s">
        <v>33</v>
      </c>
      <c r="J69" s="21" t="s">
        <v>33</v>
      </c>
      <c r="K69" s="21" t="s">
        <v>33</v>
      </c>
      <c r="L69" s="21" t="s">
        <v>33</v>
      </c>
    </row>
    <row r="70">
      <c r="A70" s="13" t="s">
        <v>35</v>
      </c>
      <c r="B70" s="13" t="s">
        <v>516</v>
      </c>
      <c r="C70" s="25" t="str">
        <f>+91 99205 99440</f>
        <v>#ERROR!</v>
      </c>
      <c r="D70" s="19" t="s">
        <v>517</v>
      </c>
      <c r="E70" s="20">
        <v>4.7</v>
      </c>
      <c r="F70" s="20">
        <v>111.0</v>
      </c>
      <c r="G70" s="20">
        <v>69.0</v>
      </c>
      <c r="H70" s="21" t="s">
        <v>519</v>
      </c>
      <c r="I70" s="21" t="s">
        <v>520</v>
      </c>
      <c r="J70" s="23" t="s">
        <v>521</v>
      </c>
      <c r="K70" s="21" t="s">
        <v>33</v>
      </c>
      <c r="L70" s="23" t="s">
        <v>522</v>
      </c>
    </row>
    <row r="71">
      <c r="A71" s="13" t="s">
        <v>35</v>
      </c>
      <c r="B71" s="13" t="s">
        <v>525</v>
      </c>
      <c r="C71" s="14" t="s">
        <v>122</v>
      </c>
      <c r="D71" s="19" t="s">
        <v>526</v>
      </c>
      <c r="E71" s="20">
        <v>5.0</v>
      </c>
      <c r="F71" s="20">
        <v>25.0</v>
      </c>
      <c r="G71" s="20">
        <v>70.0</v>
      </c>
      <c r="H71" s="21" t="s">
        <v>527</v>
      </c>
      <c r="I71" s="21" t="s">
        <v>33</v>
      </c>
      <c r="J71" s="21" t="s">
        <v>33</v>
      </c>
      <c r="K71" s="21" t="s">
        <v>33</v>
      </c>
      <c r="L71" s="21" t="s">
        <v>33</v>
      </c>
    </row>
    <row r="72">
      <c r="A72" s="13" t="s">
        <v>35</v>
      </c>
      <c r="B72" s="13" t="s">
        <v>185</v>
      </c>
      <c r="C72" s="25" t="str">
        <f>+91 85911 19656</f>
        <v>#ERROR!</v>
      </c>
      <c r="D72" s="19" t="s">
        <v>530</v>
      </c>
      <c r="E72" s="20">
        <v>4.2</v>
      </c>
      <c r="F72" s="20">
        <v>157.0</v>
      </c>
      <c r="G72" s="20">
        <v>71.0</v>
      </c>
      <c r="H72" s="21" t="s">
        <v>184</v>
      </c>
      <c r="I72" s="21" t="s">
        <v>33</v>
      </c>
      <c r="J72" s="21" t="s">
        <v>33</v>
      </c>
      <c r="K72" s="21" t="s">
        <v>33</v>
      </c>
      <c r="L72" s="21" t="s">
        <v>33</v>
      </c>
    </row>
    <row r="73">
      <c r="A73" s="13" t="s">
        <v>35</v>
      </c>
      <c r="B73" s="13" t="s">
        <v>36</v>
      </c>
      <c r="C73" s="25" t="str">
        <f>+91 79773 94068</f>
        <v>#ERROR!</v>
      </c>
      <c r="D73" s="19" t="s">
        <v>533</v>
      </c>
      <c r="E73" s="20">
        <v>4.8</v>
      </c>
      <c r="F73" s="20">
        <v>36.0</v>
      </c>
      <c r="G73" s="20">
        <v>72.0</v>
      </c>
      <c r="H73" s="21" t="s">
        <v>534</v>
      </c>
      <c r="I73" s="21" t="s">
        <v>33</v>
      </c>
      <c r="J73" s="21" t="s">
        <v>33</v>
      </c>
      <c r="K73" s="21" t="s">
        <v>33</v>
      </c>
      <c r="L73" s="21" t="s">
        <v>33</v>
      </c>
    </row>
    <row r="74">
      <c r="A74" s="13" t="s">
        <v>35</v>
      </c>
      <c r="B74" s="13" t="s">
        <v>290</v>
      </c>
      <c r="C74" s="25" t="str">
        <f>+91 72081 69894</f>
        <v>#ERROR!</v>
      </c>
      <c r="D74" s="19" t="s">
        <v>535</v>
      </c>
      <c r="E74" s="20">
        <v>4.8</v>
      </c>
      <c r="F74" s="20">
        <v>11.0</v>
      </c>
      <c r="G74" s="20">
        <v>73.0</v>
      </c>
      <c r="H74" s="21" t="s">
        <v>289</v>
      </c>
      <c r="I74" s="21" t="s">
        <v>33</v>
      </c>
      <c r="J74" s="21" t="s">
        <v>33</v>
      </c>
      <c r="K74" s="21" t="s">
        <v>33</v>
      </c>
      <c r="L74" s="21" t="s">
        <v>33</v>
      </c>
    </row>
    <row r="75">
      <c r="A75" s="13" t="s">
        <v>35</v>
      </c>
      <c r="B75" s="13" t="s">
        <v>491</v>
      </c>
      <c r="C75" s="25" t="str">
        <f>+91 93594 27060</f>
        <v>#ERROR!</v>
      </c>
      <c r="D75" s="19" t="s">
        <v>537</v>
      </c>
      <c r="E75" s="20">
        <v>5.0</v>
      </c>
      <c r="F75" s="20">
        <v>59.0</v>
      </c>
      <c r="G75" s="20">
        <v>74.0</v>
      </c>
      <c r="H75" s="21" t="s">
        <v>490</v>
      </c>
      <c r="I75" s="21" t="s">
        <v>33</v>
      </c>
      <c r="J75" s="21" t="s">
        <v>33</v>
      </c>
      <c r="K75" s="21" t="s">
        <v>33</v>
      </c>
      <c r="L75" s="21" t="s">
        <v>33</v>
      </c>
    </row>
    <row r="76">
      <c r="A76" s="13" t="s">
        <v>411</v>
      </c>
      <c r="B76" s="13" t="s">
        <v>540</v>
      </c>
      <c r="C76" s="14" t="s">
        <v>122</v>
      </c>
      <c r="D76" s="19" t="s">
        <v>541</v>
      </c>
      <c r="E76" s="20">
        <v>4.7</v>
      </c>
      <c r="F76" s="20">
        <v>67.0</v>
      </c>
      <c r="G76" s="20">
        <v>75.0</v>
      </c>
      <c r="H76" s="21" t="s">
        <v>543</v>
      </c>
      <c r="I76" s="21" t="s">
        <v>33</v>
      </c>
      <c r="J76" s="21" t="s">
        <v>33</v>
      </c>
      <c r="K76" s="21" t="s">
        <v>33</v>
      </c>
      <c r="L76" s="21" t="s">
        <v>33</v>
      </c>
    </row>
    <row r="77">
      <c r="A77" s="13" t="s">
        <v>411</v>
      </c>
      <c r="B77" s="13" t="s">
        <v>412</v>
      </c>
      <c r="C77" s="25" t="str">
        <f>+91 99672 92961</f>
        <v>#ERROR!</v>
      </c>
      <c r="D77" s="19" t="s">
        <v>544</v>
      </c>
      <c r="E77" s="20">
        <v>5.0</v>
      </c>
      <c r="F77" s="20">
        <v>29.0</v>
      </c>
      <c r="G77" s="20">
        <v>76.0</v>
      </c>
      <c r="H77" s="21" t="s">
        <v>410</v>
      </c>
      <c r="I77" s="21" t="s">
        <v>33</v>
      </c>
      <c r="J77" s="21" t="s">
        <v>33</v>
      </c>
      <c r="K77" s="21" t="s">
        <v>33</v>
      </c>
      <c r="L77" s="21" t="s">
        <v>33</v>
      </c>
    </row>
    <row r="78">
      <c r="A78" s="13" t="s">
        <v>411</v>
      </c>
      <c r="B78" s="13" t="s">
        <v>524</v>
      </c>
      <c r="C78" s="25" t="str">
        <f>+91 90828 20128</f>
        <v>#ERROR!</v>
      </c>
      <c r="D78" s="19" t="s">
        <v>546</v>
      </c>
      <c r="E78" s="20">
        <v>4.6</v>
      </c>
      <c r="F78" s="20">
        <v>145.0</v>
      </c>
      <c r="G78" s="20">
        <v>77.0</v>
      </c>
      <c r="H78" s="21" t="s">
        <v>523</v>
      </c>
      <c r="I78" s="21" t="s">
        <v>33</v>
      </c>
      <c r="J78" s="21" t="s">
        <v>33</v>
      </c>
      <c r="K78" s="23" t="s">
        <v>547</v>
      </c>
      <c r="L78" s="23" t="s">
        <v>344</v>
      </c>
    </row>
    <row r="79">
      <c r="A79" s="13" t="s">
        <v>411</v>
      </c>
      <c r="B79" s="13" t="s">
        <v>548</v>
      </c>
      <c r="C79" s="14" t="s">
        <v>122</v>
      </c>
      <c r="D79" s="19" t="s">
        <v>549</v>
      </c>
      <c r="E79" s="20">
        <v>4.3</v>
      </c>
      <c r="F79" s="20">
        <v>25.0</v>
      </c>
      <c r="G79" s="20">
        <v>78.0</v>
      </c>
      <c r="H79" s="21" t="s">
        <v>551</v>
      </c>
      <c r="I79" s="21" t="s">
        <v>33</v>
      </c>
      <c r="J79" s="21" t="s">
        <v>33</v>
      </c>
      <c r="K79" s="21" t="s">
        <v>33</v>
      </c>
      <c r="L79" s="21" t="s">
        <v>33</v>
      </c>
    </row>
    <row r="80">
      <c r="A80" s="13" t="s">
        <v>82</v>
      </c>
      <c r="B80" s="13" t="s">
        <v>553</v>
      </c>
      <c r="C80" s="25" t="str">
        <f>+91 88881 18865</f>
        <v>#ERROR!</v>
      </c>
      <c r="D80" s="19" t="s">
        <v>554</v>
      </c>
      <c r="E80" s="20">
        <v>4.9</v>
      </c>
      <c r="F80" s="20">
        <v>363.0</v>
      </c>
      <c r="G80" s="20">
        <v>79.0</v>
      </c>
      <c r="H80" s="21" t="s">
        <v>556</v>
      </c>
      <c r="I80" s="21" t="s">
        <v>33</v>
      </c>
      <c r="J80" s="21" t="s">
        <v>33</v>
      </c>
      <c r="K80" s="21" t="s">
        <v>33</v>
      </c>
      <c r="L80" s="21" t="s">
        <v>33</v>
      </c>
    </row>
    <row r="81">
      <c r="A81" s="13" t="s">
        <v>82</v>
      </c>
      <c r="B81" s="13" t="s">
        <v>557</v>
      </c>
      <c r="C81" s="14" t="s">
        <v>122</v>
      </c>
      <c r="D81" s="19" t="s">
        <v>558</v>
      </c>
      <c r="E81" s="20">
        <v>4.8</v>
      </c>
      <c r="F81" s="20">
        <v>925.0</v>
      </c>
      <c r="G81" s="20">
        <v>80.0</v>
      </c>
      <c r="H81" s="21" t="s">
        <v>559</v>
      </c>
      <c r="I81" s="21" t="s">
        <v>33</v>
      </c>
      <c r="J81" s="21" t="s">
        <v>33</v>
      </c>
      <c r="K81" s="21" t="s">
        <v>33</v>
      </c>
      <c r="L81" s="21" t="s">
        <v>33</v>
      </c>
    </row>
    <row r="82">
      <c r="A82" s="13" t="s">
        <v>82</v>
      </c>
      <c r="B82" s="13" t="s">
        <v>560</v>
      </c>
      <c r="C82" s="25" t="str">
        <f>+91 91372 88105</f>
        <v>#ERROR!</v>
      </c>
      <c r="D82" s="19" t="s">
        <v>562</v>
      </c>
      <c r="E82" s="20">
        <v>4.7</v>
      </c>
      <c r="F82" s="20">
        <v>412.0</v>
      </c>
      <c r="G82" s="20">
        <v>81.0</v>
      </c>
      <c r="H82" s="21" t="s">
        <v>563</v>
      </c>
      <c r="I82" s="21" t="s">
        <v>564</v>
      </c>
      <c r="J82" s="23" t="s">
        <v>565</v>
      </c>
      <c r="K82" s="23" t="s">
        <v>566</v>
      </c>
      <c r="L82" s="23" t="s">
        <v>569</v>
      </c>
    </row>
    <row r="83">
      <c r="A83" s="13" t="s">
        <v>82</v>
      </c>
      <c r="B83" s="13" t="s">
        <v>570</v>
      </c>
      <c r="C83" s="25" t="str">
        <f>+91 79770 77905</f>
        <v>#ERROR!</v>
      </c>
      <c r="D83" s="19" t="s">
        <v>571</v>
      </c>
      <c r="E83" s="20">
        <v>4.8</v>
      </c>
      <c r="F83" s="20">
        <v>303.0</v>
      </c>
      <c r="G83" s="20">
        <v>82.0</v>
      </c>
      <c r="H83" s="21" t="s">
        <v>572</v>
      </c>
      <c r="I83" s="21" t="s">
        <v>64</v>
      </c>
      <c r="J83" s="23" t="s">
        <v>573</v>
      </c>
      <c r="K83" s="23" t="s">
        <v>67</v>
      </c>
      <c r="L83" s="23" t="s">
        <v>71</v>
      </c>
    </row>
    <row r="84">
      <c r="A84" s="13" t="s">
        <v>82</v>
      </c>
      <c r="B84" s="13" t="s">
        <v>83</v>
      </c>
      <c r="C84" s="25" t="str">
        <f>+91 95209 82437</f>
        <v>#ERROR!</v>
      </c>
      <c r="D84" s="19" t="s">
        <v>577</v>
      </c>
      <c r="E84" s="20">
        <v>4.8</v>
      </c>
      <c r="F84" s="20">
        <v>66.0</v>
      </c>
      <c r="G84" s="20">
        <v>83.0</v>
      </c>
      <c r="H84" s="21" t="s">
        <v>578</v>
      </c>
      <c r="I84" s="21" t="s">
        <v>33</v>
      </c>
      <c r="J84" s="23" t="s">
        <v>579</v>
      </c>
      <c r="K84" s="23" t="s">
        <v>581</v>
      </c>
      <c r="L84" s="23" t="s">
        <v>582</v>
      </c>
    </row>
    <row r="85">
      <c r="A85" s="13" t="s">
        <v>82</v>
      </c>
      <c r="B85" s="13" t="s">
        <v>504</v>
      </c>
      <c r="C85" s="25" t="str">
        <f>+91 97690 17199</f>
        <v>#ERROR!</v>
      </c>
      <c r="D85" s="19" t="s">
        <v>585</v>
      </c>
      <c r="E85" s="20">
        <v>4.9</v>
      </c>
      <c r="F85" s="20">
        <v>19.0</v>
      </c>
      <c r="G85" s="20">
        <v>84.0</v>
      </c>
      <c r="H85" s="21" t="s">
        <v>503</v>
      </c>
      <c r="I85" s="21" t="s">
        <v>33</v>
      </c>
      <c r="J85" s="21" t="s">
        <v>33</v>
      </c>
      <c r="K85" s="23" t="s">
        <v>586</v>
      </c>
      <c r="L85" s="21" t="s">
        <v>33</v>
      </c>
    </row>
    <row r="86">
      <c r="A86" s="13" t="s">
        <v>82</v>
      </c>
      <c r="B86" s="13" t="s">
        <v>529</v>
      </c>
      <c r="C86" s="25" t="str">
        <f>+91 98925 52114</f>
        <v>#ERROR!</v>
      </c>
      <c r="D86" s="19" t="s">
        <v>587</v>
      </c>
      <c r="E86" s="20">
        <v>4.8</v>
      </c>
      <c r="F86" s="20">
        <v>240.0</v>
      </c>
      <c r="G86" s="20">
        <v>85.0</v>
      </c>
      <c r="H86" s="21" t="s">
        <v>528</v>
      </c>
      <c r="I86" s="21" t="s">
        <v>120</v>
      </c>
      <c r="J86" s="23" t="s">
        <v>589</v>
      </c>
      <c r="K86" s="23" t="s">
        <v>121</v>
      </c>
      <c r="L86" s="23" t="s">
        <v>123</v>
      </c>
    </row>
    <row r="87">
      <c r="A87" s="13" t="s">
        <v>82</v>
      </c>
      <c r="B87" s="13" t="s">
        <v>590</v>
      </c>
      <c r="C87" s="25" t="str">
        <f>+91 97684 18989</f>
        <v>#ERROR!</v>
      </c>
      <c r="D87" s="19" t="s">
        <v>592</v>
      </c>
      <c r="E87" s="20">
        <v>4.8</v>
      </c>
      <c r="F87" s="20">
        <v>220.0</v>
      </c>
      <c r="G87" s="20">
        <v>86.0</v>
      </c>
      <c r="H87" s="21" t="s">
        <v>593</v>
      </c>
      <c r="I87" s="21" t="s">
        <v>33</v>
      </c>
      <c r="J87" s="21" t="s">
        <v>33</v>
      </c>
      <c r="K87" s="23" t="s">
        <v>595</v>
      </c>
      <c r="L87" s="23" t="s">
        <v>598</v>
      </c>
    </row>
    <row r="88">
      <c r="A88" s="13" t="s">
        <v>82</v>
      </c>
      <c r="B88" s="13" t="s">
        <v>382</v>
      </c>
      <c r="C88" s="25" t="str">
        <f>+91 83697 40525</f>
        <v>#ERROR!</v>
      </c>
      <c r="D88" s="19" t="s">
        <v>601</v>
      </c>
      <c r="E88" s="20">
        <v>4.9</v>
      </c>
      <c r="F88" s="20">
        <v>33.0</v>
      </c>
      <c r="G88" s="20">
        <v>87.0</v>
      </c>
      <c r="H88" s="21" t="s">
        <v>381</v>
      </c>
      <c r="I88" s="21" t="s">
        <v>33</v>
      </c>
      <c r="J88" s="21" t="s">
        <v>33</v>
      </c>
      <c r="K88" s="21" t="s">
        <v>33</v>
      </c>
      <c r="L88" s="21" t="s">
        <v>33</v>
      </c>
    </row>
    <row r="89">
      <c r="A89" s="13" t="s">
        <v>82</v>
      </c>
      <c r="B89" s="13" t="s">
        <v>605</v>
      </c>
      <c r="C89" s="25" t="str">
        <f>+91 82861 33957</f>
        <v>#ERROR!</v>
      </c>
      <c r="D89" s="19" t="s">
        <v>606</v>
      </c>
      <c r="E89" s="20">
        <v>4.8</v>
      </c>
      <c r="F89" s="20">
        <v>316.0</v>
      </c>
      <c r="G89" s="20">
        <v>88.0</v>
      </c>
      <c r="H89" s="21" t="s">
        <v>607</v>
      </c>
      <c r="I89" s="21" t="s">
        <v>33</v>
      </c>
      <c r="J89" s="21" t="s">
        <v>33</v>
      </c>
      <c r="K89" s="23" t="s">
        <v>608</v>
      </c>
      <c r="L89" s="23" t="s">
        <v>609</v>
      </c>
    </row>
    <row r="90">
      <c r="A90" s="13" t="s">
        <v>157</v>
      </c>
      <c r="B90" s="13" t="s">
        <v>600</v>
      </c>
      <c r="C90" s="25" t="str">
        <f>+91 73044 43599</f>
        <v>#ERROR!</v>
      </c>
      <c r="D90" s="19" t="s">
        <v>611</v>
      </c>
      <c r="E90" s="20">
        <v>5.0</v>
      </c>
      <c r="F90" s="20">
        <v>211.0</v>
      </c>
      <c r="G90" s="20">
        <v>89.0</v>
      </c>
      <c r="H90" s="21" t="s">
        <v>599</v>
      </c>
      <c r="I90" s="21" t="s">
        <v>603</v>
      </c>
      <c r="J90" s="23" t="s">
        <v>613</v>
      </c>
      <c r="K90" s="23" t="s">
        <v>614</v>
      </c>
      <c r="L90" s="23" t="s">
        <v>330</v>
      </c>
    </row>
    <row r="91">
      <c r="A91" s="13" t="s">
        <v>157</v>
      </c>
      <c r="B91" s="13" t="s">
        <v>615</v>
      </c>
      <c r="C91" s="25" t="str">
        <f>+91 83699 44765</f>
        <v>#ERROR!</v>
      </c>
      <c r="D91" s="19" t="s">
        <v>616</v>
      </c>
      <c r="E91" s="20">
        <v>4.9</v>
      </c>
      <c r="F91" s="20">
        <v>188.0</v>
      </c>
      <c r="G91" s="20">
        <v>90.0</v>
      </c>
      <c r="H91" s="21" t="s">
        <v>619</v>
      </c>
      <c r="I91" s="21" t="s">
        <v>33</v>
      </c>
      <c r="J91" s="21" t="s">
        <v>33</v>
      </c>
      <c r="K91" s="23" t="s">
        <v>620</v>
      </c>
      <c r="L91" s="23" t="s">
        <v>622</v>
      </c>
    </row>
    <row r="92">
      <c r="A92" s="13" t="s">
        <v>157</v>
      </c>
      <c r="B92" s="13" t="s">
        <v>623</v>
      </c>
      <c r="C92" s="25" t="str">
        <f>+91 81048 82203</f>
        <v>#ERROR!</v>
      </c>
      <c r="D92" s="19" t="s">
        <v>624</v>
      </c>
      <c r="E92" s="20">
        <v>4.8</v>
      </c>
      <c r="F92" s="20">
        <v>227.0</v>
      </c>
      <c r="G92" s="20">
        <v>91.0</v>
      </c>
      <c r="H92" s="21" t="s">
        <v>626</v>
      </c>
      <c r="I92" s="21" t="s">
        <v>33</v>
      </c>
      <c r="J92" s="21" t="s">
        <v>33</v>
      </c>
      <c r="K92" s="23" t="s">
        <v>627</v>
      </c>
      <c r="L92" s="23" t="s">
        <v>628</v>
      </c>
    </row>
    <row r="93">
      <c r="A93" s="13" t="s">
        <v>157</v>
      </c>
      <c r="B93" s="13" t="s">
        <v>158</v>
      </c>
      <c r="C93" s="25" t="str">
        <f>+91 98193 61809</f>
        <v>#ERROR!</v>
      </c>
      <c r="D93" s="19" t="s">
        <v>630</v>
      </c>
      <c r="E93" s="20">
        <v>4.8</v>
      </c>
      <c r="F93" s="20">
        <v>596.0</v>
      </c>
      <c r="G93" s="20">
        <v>92.0</v>
      </c>
      <c r="H93" s="21" t="s">
        <v>156</v>
      </c>
      <c r="I93" s="21" t="s">
        <v>33</v>
      </c>
      <c r="J93" s="21" t="s">
        <v>33</v>
      </c>
      <c r="K93" s="23" t="s">
        <v>631</v>
      </c>
      <c r="L93" s="23" t="s">
        <v>632</v>
      </c>
    </row>
    <row r="94">
      <c r="A94" s="13" t="s">
        <v>157</v>
      </c>
      <c r="B94" s="13" t="s">
        <v>633</v>
      </c>
      <c r="C94" s="14" t="s">
        <v>122</v>
      </c>
      <c r="D94" s="19" t="s">
        <v>634</v>
      </c>
      <c r="E94" s="20">
        <v>4.7</v>
      </c>
      <c r="F94" s="20">
        <v>89.0</v>
      </c>
      <c r="G94" s="20">
        <v>93.0</v>
      </c>
      <c r="H94" s="21" t="s">
        <v>635</v>
      </c>
      <c r="I94" s="21" t="s">
        <v>33</v>
      </c>
      <c r="J94" s="23" t="s">
        <v>636</v>
      </c>
      <c r="K94" s="23" t="s">
        <v>638</v>
      </c>
      <c r="L94" s="23" t="s">
        <v>639</v>
      </c>
    </row>
    <row r="95">
      <c r="A95" s="13" t="s">
        <v>373</v>
      </c>
      <c r="B95" s="13" t="s">
        <v>618</v>
      </c>
      <c r="C95" s="25" t="str">
        <f>+91 79776 54950</f>
        <v>#ERROR!</v>
      </c>
      <c r="D95" s="19" t="s">
        <v>641</v>
      </c>
      <c r="E95" s="20">
        <v>4.7</v>
      </c>
      <c r="F95" s="20">
        <v>104.0</v>
      </c>
      <c r="G95" s="20">
        <v>94.0</v>
      </c>
      <c r="H95" s="21" t="s">
        <v>643</v>
      </c>
      <c r="I95" s="21" t="s">
        <v>33</v>
      </c>
      <c r="J95" s="21" t="s">
        <v>33</v>
      </c>
      <c r="K95" s="23" t="s">
        <v>644</v>
      </c>
      <c r="L95" s="23" t="s">
        <v>645</v>
      </c>
    </row>
    <row r="96">
      <c r="A96" s="13" t="s">
        <v>373</v>
      </c>
      <c r="B96" s="13" t="s">
        <v>646</v>
      </c>
      <c r="C96" s="25" t="str">
        <f>+91 88284 33493</f>
        <v>#ERROR!</v>
      </c>
      <c r="D96" s="19" t="s">
        <v>647</v>
      </c>
      <c r="E96" s="20">
        <v>4.6</v>
      </c>
      <c r="F96" s="20">
        <v>95.0</v>
      </c>
      <c r="G96" s="20">
        <v>95.0</v>
      </c>
      <c r="H96" s="21" t="s">
        <v>649</v>
      </c>
      <c r="I96" s="21" t="s">
        <v>33</v>
      </c>
      <c r="J96" s="21" t="s">
        <v>33</v>
      </c>
      <c r="K96" s="23" t="s">
        <v>650</v>
      </c>
      <c r="L96" s="23" t="s">
        <v>652</v>
      </c>
    </row>
    <row r="97">
      <c r="A97" s="13" t="s">
        <v>59</v>
      </c>
      <c r="B97" s="13" t="s">
        <v>575</v>
      </c>
      <c r="C97" s="25" t="str">
        <f>+91 84248 32233</f>
        <v>#ERROR!</v>
      </c>
      <c r="D97" s="19" t="s">
        <v>656</v>
      </c>
      <c r="E97" s="20">
        <v>4.8</v>
      </c>
      <c r="F97" s="20">
        <v>298.0</v>
      </c>
      <c r="G97" s="20">
        <v>96.0</v>
      </c>
      <c r="H97" s="21" t="s">
        <v>574</v>
      </c>
      <c r="I97" s="21" t="s">
        <v>33</v>
      </c>
      <c r="J97" s="23" t="s">
        <v>657</v>
      </c>
      <c r="K97" s="23" t="s">
        <v>660</v>
      </c>
      <c r="L97" s="23" t="s">
        <v>662</v>
      </c>
    </row>
    <row r="98">
      <c r="A98" s="13" t="s">
        <v>59</v>
      </c>
      <c r="B98" s="13" t="s">
        <v>663</v>
      </c>
      <c r="C98" s="25" t="str">
        <f>+91 92230 23928</f>
        <v>#ERROR!</v>
      </c>
      <c r="D98" s="19" t="s">
        <v>664</v>
      </c>
      <c r="E98" s="20">
        <v>4.9</v>
      </c>
      <c r="F98" s="20">
        <v>69.0</v>
      </c>
      <c r="G98" s="20">
        <v>97.0</v>
      </c>
      <c r="H98" s="21" t="s">
        <v>665</v>
      </c>
      <c r="I98" s="21" t="s">
        <v>33</v>
      </c>
      <c r="J98" s="21" t="s">
        <v>33</v>
      </c>
      <c r="K98" s="23" t="s">
        <v>666</v>
      </c>
      <c r="L98" s="23" t="s">
        <v>668</v>
      </c>
    </row>
    <row r="99">
      <c r="A99" s="13" t="s">
        <v>59</v>
      </c>
      <c r="B99" s="13" t="s">
        <v>363</v>
      </c>
      <c r="C99" s="25" t="str">
        <f>+91 95943 95577</f>
        <v>#ERROR!</v>
      </c>
      <c r="D99" s="19" t="s">
        <v>669</v>
      </c>
      <c r="E99" s="20">
        <v>4.6</v>
      </c>
      <c r="F99" s="20">
        <v>167.0</v>
      </c>
      <c r="G99" s="20">
        <v>98.0</v>
      </c>
      <c r="H99" s="21" t="s">
        <v>362</v>
      </c>
      <c r="I99" s="21" t="s">
        <v>33</v>
      </c>
      <c r="J99" s="21" t="s">
        <v>33</v>
      </c>
      <c r="K99" s="23" t="s">
        <v>671</v>
      </c>
      <c r="L99" s="23" t="s">
        <v>672</v>
      </c>
    </row>
    <row r="100">
      <c r="A100" s="13" t="s">
        <v>117</v>
      </c>
      <c r="B100" s="13" t="s">
        <v>539</v>
      </c>
      <c r="C100" s="25" t="str">
        <f>+91 98339 11101</f>
        <v>#ERROR!</v>
      </c>
      <c r="D100" s="19" t="s">
        <v>675</v>
      </c>
      <c r="E100" s="20">
        <v>4.8</v>
      </c>
      <c r="F100" s="20">
        <v>945.0</v>
      </c>
      <c r="G100" s="20">
        <v>99.0</v>
      </c>
      <c r="H100" s="21" t="s">
        <v>538</v>
      </c>
      <c r="I100" s="21" t="s">
        <v>33</v>
      </c>
      <c r="J100" s="21" t="s">
        <v>33</v>
      </c>
      <c r="K100" s="23" t="s">
        <v>677</v>
      </c>
      <c r="L100" s="23" t="s">
        <v>678</v>
      </c>
    </row>
    <row r="101">
      <c r="A101" s="13" t="s">
        <v>59</v>
      </c>
      <c r="B101" s="13" t="s">
        <v>61</v>
      </c>
      <c r="C101" s="25" t="str">
        <f>+91 85912 22344</f>
        <v>#ERROR!</v>
      </c>
      <c r="D101" s="19" t="s">
        <v>679</v>
      </c>
      <c r="E101" s="20">
        <v>4.6</v>
      </c>
      <c r="F101" s="20">
        <v>136.0</v>
      </c>
      <c r="G101" s="20">
        <v>100.0</v>
      </c>
      <c r="H101" s="21" t="s">
        <v>58</v>
      </c>
      <c r="I101" s="21" t="s">
        <v>33</v>
      </c>
      <c r="J101" s="21" t="s">
        <v>33</v>
      </c>
      <c r="K101" s="23" t="s">
        <v>680</v>
      </c>
      <c r="L101" s="21" t="s">
        <v>33</v>
      </c>
    </row>
    <row r="102">
      <c r="A102" s="13" t="s">
        <v>59</v>
      </c>
      <c r="B102" s="13" t="s">
        <v>112</v>
      </c>
      <c r="C102" s="25" t="str">
        <f>+91 98206 57515</f>
        <v>#ERROR!</v>
      </c>
      <c r="D102" s="19" t="s">
        <v>681</v>
      </c>
      <c r="E102" s="20">
        <v>4.9</v>
      </c>
      <c r="F102" s="20">
        <v>485.0</v>
      </c>
      <c r="G102" s="20">
        <v>101.0</v>
      </c>
      <c r="H102" s="21" t="s">
        <v>111</v>
      </c>
      <c r="I102" s="21" t="s">
        <v>33</v>
      </c>
      <c r="J102" s="23" t="s">
        <v>684</v>
      </c>
      <c r="K102" s="21" t="s">
        <v>33</v>
      </c>
      <c r="L102" s="21" t="s">
        <v>33</v>
      </c>
    </row>
    <row r="103">
      <c r="A103" s="13" t="s">
        <v>117</v>
      </c>
      <c r="B103" s="13" t="s">
        <v>239</v>
      </c>
      <c r="C103" s="25" t="str">
        <f>+91 89281 21483</f>
        <v>#ERROR!</v>
      </c>
      <c r="D103" s="19" t="s">
        <v>685</v>
      </c>
      <c r="E103" s="20">
        <v>5.0</v>
      </c>
      <c r="F103" s="20">
        <v>175.0</v>
      </c>
      <c r="G103" s="20">
        <v>102.0</v>
      </c>
      <c r="H103" s="21" t="s">
        <v>237</v>
      </c>
      <c r="I103" s="21" t="s">
        <v>33</v>
      </c>
      <c r="J103" s="21" t="s">
        <v>33</v>
      </c>
      <c r="K103" s="21" t="s">
        <v>33</v>
      </c>
      <c r="L103" s="21" t="s">
        <v>33</v>
      </c>
    </row>
    <row r="104">
      <c r="A104" s="13" t="s">
        <v>59</v>
      </c>
      <c r="B104" s="13" t="s">
        <v>473</v>
      </c>
      <c r="C104" s="25" t="str">
        <f>+91 84240 09988</f>
        <v>#ERROR!</v>
      </c>
      <c r="D104" s="19" t="s">
        <v>687</v>
      </c>
      <c r="E104" s="20">
        <v>5.0</v>
      </c>
      <c r="F104" s="20">
        <v>128.0</v>
      </c>
      <c r="G104" s="20">
        <v>103.0</v>
      </c>
      <c r="H104" s="21" t="s">
        <v>471</v>
      </c>
      <c r="I104" s="21" t="s">
        <v>33</v>
      </c>
      <c r="J104" s="21" t="s">
        <v>33</v>
      </c>
      <c r="K104" s="21" t="s">
        <v>33</v>
      </c>
      <c r="L104" s="21" t="s">
        <v>33</v>
      </c>
    </row>
    <row r="105">
      <c r="A105" s="13" t="s">
        <v>59</v>
      </c>
      <c r="B105" s="13" t="s">
        <v>689</v>
      </c>
      <c r="C105" s="25" t="str">
        <f>+91 86554 18904</f>
        <v>#ERROR!</v>
      </c>
      <c r="D105" s="19" t="s">
        <v>690</v>
      </c>
      <c r="E105" s="20">
        <v>4.4</v>
      </c>
      <c r="F105" s="20">
        <v>114.0</v>
      </c>
      <c r="G105" s="20">
        <v>104.0</v>
      </c>
      <c r="H105" s="21" t="s">
        <v>692</v>
      </c>
      <c r="I105" s="21" t="s">
        <v>693</v>
      </c>
      <c r="J105" s="23" t="s">
        <v>694</v>
      </c>
      <c r="K105" s="23" t="s">
        <v>638</v>
      </c>
      <c r="L105" s="23" t="s">
        <v>695</v>
      </c>
    </row>
    <row r="106">
      <c r="A106" s="13" t="s">
        <v>117</v>
      </c>
      <c r="B106" s="13" t="s">
        <v>584</v>
      </c>
      <c r="C106" s="14" t="s">
        <v>122</v>
      </c>
      <c r="D106" s="19" t="s">
        <v>696</v>
      </c>
      <c r="E106" s="20">
        <v>4.0</v>
      </c>
      <c r="F106" s="20">
        <v>54.0</v>
      </c>
      <c r="G106" s="20">
        <v>105.0</v>
      </c>
      <c r="H106" s="21" t="s">
        <v>583</v>
      </c>
      <c r="I106" s="21" t="s">
        <v>33</v>
      </c>
      <c r="J106" s="21" t="s">
        <v>33</v>
      </c>
      <c r="K106" s="21" t="s">
        <v>33</v>
      </c>
      <c r="L106" s="21" t="s">
        <v>33</v>
      </c>
    </row>
    <row r="107">
      <c r="A107" s="13" t="s">
        <v>117</v>
      </c>
      <c r="B107" s="13" t="s">
        <v>698</v>
      </c>
      <c r="C107" s="25" t="str">
        <f>+91 98204 81065</f>
        <v>#ERROR!</v>
      </c>
      <c r="D107" s="19" t="s">
        <v>699</v>
      </c>
      <c r="E107" s="20">
        <v>4.8</v>
      </c>
      <c r="F107" s="20">
        <v>393.0</v>
      </c>
      <c r="G107" s="20">
        <v>106.0</v>
      </c>
      <c r="H107" s="21" t="s">
        <v>701</v>
      </c>
      <c r="I107" s="21" t="s">
        <v>33</v>
      </c>
      <c r="J107" s="21" t="s">
        <v>33</v>
      </c>
      <c r="K107" s="21" t="s">
        <v>33</v>
      </c>
      <c r="L107" s="21" t="s">
        <v>33</v>
      </c>
    </row>
    <row r="108">
      <c r="A108" s="13" t="s">
        <v>117</v>
      </c>
      <c r="B108" s="13" t="s">
        <v>702</v>
      </c>
      <c r="C108" s="25" t="str">
        <f>+91 97682 62139</f>
        <v>#ERROR!</v>
      </c>
      <c r="D108" s="19" t="s">
        <v>703</v>
      </c>
      <c r="E108" s="20">
        <v>4.7</v>
      </c>
      <c r="F108" s="20">
        <v>251.0</v>
      </c>
      <c r="G108" s="20">
        <v>107.0</v>
      </c>
      <c r="H108" s="21" t="s">
        <v>704</v>
      </c>
      <c r="I108" s="21" t="s">
        <v>33</v>
      </c>
      <c r="J108" s="21" t="s">
        <v>33</v>
      </c>
      <c r="K108" s="21" t="s">
        <v>33</v>
      </c>
      <c r="L108" s="21" t="s">
        <v>33</v>
      </c>
    </row>
    <row r="109">
      <c r="A109" s="13" t="s">
        <v>117</v>
      </c>
      <c r="B109" s="13" t="s">
        <v>705</v>
      </c>
      <c r="C109" s="25" t="str">
        <f>+91 97026 50756</f>
        <v>#ERROR!</v>
      </c>
      <c r="D109" s="19" t="s">
        <v>706</v>
      </c>
      <c r="E109" s="20">
        <v>5.0</v>
      </c>
      <c r="F109" s="20">
        <v>20.0</v>
      </c>
      <c r="G109" s="20">
        <v>108.0</v>
      </c>
      <c r="H109" s="21" t="s">
        <v>707</v>
      </c>
      <c r="I109" s="21" t="s">
        <v>33</v>
      </c>
      <c r="J109" s="21" t="s">
        <v>33</v>
      </c>
      <c r="K109" s="21" t="s">
        <v>33</v>
      </c>
      <c r="L109" s="21" t="s">
        <v>33</v>
      </c>
    </row>
    <row r="110">
      <c r="A110" s="13" t="s">
        <v>117</v>
      </c>
      <c r="B110" s="13" t="s">
        <v>119</v>
      </c>
      <c r="C110" s="14" t="s">
        <v>122</v>
      </c>
      <c r="D110" s="19" t="s">
        <v>708</v>
      </c>
      <c r="E110" s="20">
        <v>5.0</v>
      </c>
      <c r="F110" s="20">
        <v>25.0</v>
      </c>
      <c r="G110" s="20">
        <v>109.0</v>
      </c>
      <c r="H110" s="21" t="s">
        <v>116</v>
      </c>
      <c r="I110" s="21" t="s">
        <v>33</v>
      </c>
      <c r="J110" s="21" t="s">
        <v>33</v>
      </c>
      <c r="K110" s="21" t="s">
        <v>33</v>
      </c>
      <c r="L110" s="21" t="s">
        <v>33</v>
      </c>
    </row>
    <row r="111">
      <c r="A111" s="13" t="s">
        <v>117</v>
      </c>
      <c r="B111" s="13" t="s">
        <v>498</v>
      </c>
      <c r="C111" s="25" t="str">
        <f>+91 97020 00458</f>
        <v>#ERROR!</v>
      </c>
      <c r="D111" s="19" t="s">
        <v>711</v>
      </c>
      <c r="E111" s="20">
        <v>4.5</v>
      </c>
      <c r="F111" s="20">
        <v>101.0</v>
      </c>
      <c r="G111" s="20">
        <v>110.0</v>
      </c>
      <c r="H111" s="21" t="s">
        <v>497</v>
      </c>
      <c r="I111" s="21" t="s">
        <v>33</v>
      </c>
      <c r="J111" s="21" t="s">
        <v>33</v>
      </c>
      <c r="K111" s="21" t="s">
        <v>33</v>
      </c>
      <c r="L111" s="21" t="s">
        <v>33</v>
      </c>
    </row>
    <row r="112">
      <c r="A112" s="13" t="s">
        <v>136</v>
      </c>
      <c r="B112" s="13" t="s">
        <v>596</v>
      </c>
      <c r="C112" s="25" t="str">
        <f>+91 86524 24024</f>
        <v>#ERROR!</v>
      </c>
      <c r="D112" s="19" t="s">
        <v>712</v>
      </c>
      <c r="E112" s="20">
        <v>4.6</v>
      </c>
      <c r="F112" s="20">
        <v>526.0</v>
      </c>
      <c r="G112" s="20">
        <v>111.0</v>
      </c>
      <c r="H112" s="21" t="s">
        <v>713</v>
      </c>
      <c r="I112" s="21" t="s">
        <v>33</v>
      </c>
      <c r="J112" s="21" t="s">
        <v>33</v>
      </c>
      <c r="K112" s="21" t="s">
        <v>33</v>
      </c>
      <c r="L112" s="21" t="s">
        <v>33</v>
      </c>
    </row>
    <row r="113">
      <c r="A113" s="13" t="s">
        <v>136</v>
      </c>
      <c r="B113" s="13" t="s">
        <v>225</v>
      </c>
      <c r="C113" s="25" t="str">
        <f>+91 73048 65699</f>
        <v>#ERROR!</v>
      </c>
      <c r="D113" s="19" t="s">
        <v>714</v>
      </c>
      <c r="E113" s="20">
        <v>5.0</v>
      </c>
      <c r="F113" s="20">
        <v>361.0</v>
      </c>
      <c r="G113" s="20">
        <v>112.0</v>
      </c>
      <c r="H113" s="21" t="s">
        <v>223</v>
      </c>
      <c r="I113" s="21" t="s">
        <v>227</v>
      </c>
      <c r="J113" s="23" t="s">
        <v>717</v>
      </c>
      <c r="K113" s="23" t="s">
        <v>718</v>
      </c>
      <c r="L113" s="23" t="s">
        <v>719</v>
      </c>
    </row>
    <row r="114">
      <c r="A114" s="13" t="s">
        <v>136</v>
      </c>
      <c r="B114" s="13" t="s">
        <v>653</v>
      </c>
      <c r="C114" s="25" t="str">
        <f>+91 99304 11515</f>
        <v>#ERROR!</v>
      </c>
      <c r="D114" s="19" t="s">
        <v>720</v>
      </c>
      <c r="E114" s="20">
        <v>4.8</v>
      </c>
      <c r="F114" s="20">
        <v>293.0</v>
      </c>
      <c r="G114" s="20">
        <v>113.0</v>
      </c>
      <c r="H114" s="21" t="s">
        <v>651</v>
      </c>
      <c r="I114" s="21" t="s">
        <v>655</v>
      </c>
      <c r="J114" s="21" t="s">
        <v>33</v>
      </c>
      <c r="K114" s="23" t="s">
        <v>54</v>
      </c>
      <c r="L114" s="23" t="s">
        <v>56</v>
      </c>
    </row>
    <row r="115">
      <c r="A115" s="13" t="s">
        <v>136</v>
      </c>
      <c r="B115" s="13" t="s">
        <v>723</v>
      </c>
      <c r="C115" s="25" t="str">
        <f>+91 83696 55420</f>
        <v>#ERROR!</v>
      </c>
      <c r="D115" s="19" t="s">
        <v>724</v>
      </c>
      <c r="E115" s="20">
        <v>4.9</v>
      </c>
      <c r="F115" s="20">
        <v>453.0</v>
      </c>
      <c r="G115" s="20">
        <v>114.0</v>
      </c>
      <c r="H115" s="21" t="s">
        <v>725</v>
      </c>
      <c r="I115" s="21" t="s">
        <v>33</v>
      </c>
      <c r="J115" s="21" t="s">
        <v>33</v>
      </c>
      <c r="K115" s="21" t="s">
        <v>33</v>
      </c>
      <c r="L115" s="21" t="s">
        <v>33</v>
      </c>
    </row>
    <row r="116">
      <c r="A116" s="13" t="s">
        <v>136</v>
      </c>
      <c r="B116" s="13" t="s">
        <v>394</v>
      </c>
      <c r="C116" s="25" t="str">
        <f>+91 77000 07862</f>
        <v>#ERROR!</v>
      </c>
      <c r="D116" s="19" t="s">
        <v>727</v>
      </c>
      <c r="E116" s="20">
        <v>4.3</v>
      </c>
      <c r="F116" s="20">
        <v>226.0</v>
      </c>
      <c r="G116" s="20">
        <v>115.0</v>
      </c>
      <c r="H116" s="21" t="s">
        <v>728</v>
      </c>
      <c r="I116" s="21" t="s">
        <v>33</v>
      </c>
      <c r="J116" s="21" t="s">
        <v>33</v>
      </c>
      <c r="K116" s="21" t="s">
        <v>33</v>
      </c>
      <c r="L116" s="21" t="s">
        <v>33</v>
      </c>
    </row>
    <row r="117">
      <c r="A117" s="13" t="s">
        <v>136</v>
      </c>
      <c r="B117" s="13" t="s">
        <v>137</v>
      </c>
      <c r="C117" s="25" t="str">
        <f>+91 90829 78262</f>
        <v>#ERROR!</v>
      </c>
      <c r="D117" s="19" t="s">
        <v>729</v>
      </c>
      <c r="E117" s="20">
        <v>4.3</v>
      </c>
      <c r="F117" s="20">
        <v>167.0</v>
      </c>
      <c r="G117" s="20">
        <v>116.0</v>
      </c>
      <c r="H117" s="21" t="s">
        <v>135</v>
      </c>
      <c r="I117" s="21" t="s">
        <v>33</v>
      </c>
      <c r="J117" s="21" t="s">
        <v>33</v>
      </c>
      <c r="K117" s="21" t="s">
        <v>33</v>
      </c>
      <c r="L117" s="21" t="s">
        <v>33</v>
      </c>
    </row>
    <row r="118">
      <c r="A118" s="13" t="s">
        <v>136</v>
      </c>
      <c r="B118" s="13" t="s">
        <v>424</v>
      </c>
      <c r="C118" s="25" t="str">
        <f>+91 72089 56510</f>
        <v>#ERROR!</v>
      </c>
      <c r="D118" s="19" t="s">
        <v>731</v>
      </c>
      <c r="E118" s="20">
        <v>4.8</v>
      </c>
      <c r="F118" s="20">
        <v>66.0</v>
      </c>
      <c r="G118" s="20">
        <v>117.0</v>
      </c>
      <c r="H118" s="21" t="s">
        <v>422</v>
      </c>
      <c r="I118" s="21" t="s">
        <v>33</v>
      </c>
      <c r="J118" s="21" t="s">
        <v>33</v>
      </c>
      <c r="K118" s="21" t="s">
        <v>33</v>
      </c>
      <c r="L118" s="21" t="s">
        <v>33</v>
      </c>
    </row>
    <row r="119">
      <c r="A119" s="13" t="s">
        <v>136</v>
      </c>
      <c r="B119" s="13" t="s">
        <v>145</v>
      </c>
      <c r="C119" s="25" t="str">
        <f>+91 70458 13690</f>
        <v>#ERROR!</v>
      </c>
      <c r="D119" s="19" t="s">
        <v>733</v>
      </c>
      <c r="E119" s="20">
        <v>4.4</v>
      </c>
      <c r="F119" s="20">
        <v>391.0</v>
      </c>
      <c r="G119" s="20">
        <v>118.0</v>
      </c>
      <c r="H119" s="21" t="s">
        <v>142</v>
      </c>
      <c r="I119" s="21" t="s">
        <v>33</v>
      </c>
      <c r="J119" s="21" t="s">
        <v>33</v>
      </c>
      <c r="K119" s="21" t="s">
        <v>33</v>
      </c>
      <c r="L119" s="21" t="s">
        <v>33</v>
      </c>
    </row>
    <row r="120">
      <c r="A120" s="13" t="s">
        <v>136</v>
      </c>
      <c r="B120" s="13" t="s">
        <v>552</v>
      </c>
      <c r="C120" s="25" t="str">
        <f>+91 81088 00629</f>
        <v>#ERROR!</v>
      </c>
      <c r="D120" s="19" t="s">
        <v>735</v>
      </c>
      <c r="E120" s="20">
        <v>4.9</v>
      </c>
      <c r="F120" s="20">
        <v>108.0</v>
      </c>
      <c r="G120" s="20">
        <v>119.0</v>
      </c>
      <c r="H120" s="21" t="s">
        <v>550</v>
      </c>
      <c r="I120" s="21" t="s">
        <v>33</v>
      </c>
      <c r="J120" s="21" t="s">
        <v>33</v>
      </c>
      <c r="K120" s="21" t="s">
        <v>33</v>
      </c>
      <c r="L120" s="21" t="s">
        <v>33</v>
      </c>
    </row>
    <row r="121">
      <c r="A121" s="13" t="s">
        <v>136</v>
      </c>
      <c r="B121" s="13" t="s">
        <v>220</v>
      </c>
      <c r="C121" s="14" t="s">
        <v>122</v>
      </c>
      <c r="D121" s="19" t="s">
        <v>737</v>
      </c>
      <c r="E121" s="20">
        <v>5.0</v>
      </c>
      <c r="F121" s="20">
        <v>19.0</v>
      </c>
      <c r="G121" s="20">
        <v>120.0</v>
      </c>
      <c r="H121" s="21" t="s">
        <v>219</v>
      </c>
      <c r="I121" s="21" t="s">
        <v>33</v>
      </c>
      <c r="J121" s="21" t="s">
        <v>33</v>
      </c>
      <c r="K121" s="21" t="s">
        <v>33</v>
      </c>
      <c r="L121" s="21" t="s">
        <v>33</v>
      </c>
    </row>
    <row r="122">
      <c r="A122" s="13" t="s">
        <v>105</v>
      </c>
      <c r="B122" s="13" t="s">
        <v>106</v>
      </c>
      <c r="C122" s="25" t="str">
        <f>+91 81044 84873</f>
        <v>#ERROR!</v>
      </c>
      <c r="D122" s="19" t="s">
        <v>740</v>
      </c>
      <c r="E122" s="20">
        <v>4.6</v>
      </c>
      <c r="F122" s="20">
        <v>136.0</v>
      </c>
      <c r="G122" s="20">
        <v>121.0</v>
      </c>
      <c r="H122" s="21" t="s">
        <v>104</v>
      </c>
      <c r="I122" s="21" t="s">
        <v>33</v>
      </c>
      <c r="J122" s="21" t="s">
        <v>33</v>
      </c>
      <c r="K122" s="21" t="s">
        <v>33</v>
      </c>
      <c r="L122" s="21" t="s">
        <v>33</v>
      </c>
    </row>
    <row r="123">
      <c r="A123" s="13" t="s">
        <v>105</v>
      </c>
      <c r="B123" s="13" t="s">
        <v>308</v>
      </c>
      <c r="C123" s="25" t="str">
        <f>+91 93726 90958</f>
        <v>#ERROR!</v>
      </c>
      <c r="D123" s="19" t="s">
        <v>742</v>
      </c>
      <c r="E123" s="20">
        <v>4.3</v>
      </c>
      <c r="F123" s="20">
        <v>122.0</v>
      </c>
      <c r="G123" s="20">
        <v>122.0</v>
      </c>
      <c r="H123" s="21" t="s">
        <v>307</v>
      </c>
      <c r="I123" s="21" t="s">
        <v>33</v>
      </c>
      <c r="J123" s="21" t="s">
        <v>33</v>
      </c>
      <c r="K123" s="23" t="s">
        <v>278</v>
      </c>
      <c r="L123" s="23" t="s">
        <v>281</v>
      </c>
    </row>
    <row r="124">
      <c r="A124" s="13" t="s">
        <v>105</v>
      </c>
      <c r="B124" s="13" t="s">
        <v>274</v>
      </c>
      <c r="C124" s="25" t="str">
        <f>+91 72089 95744</f>
        <v>#ERROR!</v>
      </c>
      <c r="D124" s="19" t="s">
        <v>744</v>
      </c>
      <c r="E124" s="20">
        <v>4.8</v>
      </c>
      <c r="F124" s="20">
        <v>340.0</v>
      </c>
      <c r="G124" s="20">
        <v>123.0</v>
      </c>
      <c r="H124" s="21" t="s">
        <v>273</v>
      </c>
      <c r="I124" s="21" t="s">
        <v>33</v>
      </c>
      <c r="J124" s="21" t="s">
        <v>33</v>
      </c>
      <c r="K124" s="23" t="s">
        <v>746</v>
      </c>
      <c r="L124" s="23" t="s">
        <v>749</v>
      </c>
    </row>
    <row r="125">
      <c r="A125" s="13" t="s">
        <v>105</v>
      </c>
      <c r="B125" s="13" t="s">
        <v>683</v>
      </c>
      <c r="C125" s="14" t="s">
        <v>122</v>
      </c>
      <c r="D125" s="19" t="s">
        <v>750</v>
      </c>
      <c r="E125" s="20">
        <v>4.5</v>
      </c>
      <c r="F125" s="20">
        <v>269.0</v>
      </c>
      <c r="G125" s="20">
        <v>124.0</v>
      </c>
      <c r="H125" s="21" t="s">
        <v>682</v>
      </c>
      <c r="I125" s="21" t="s">
        <v>33</v>
      </c>
      <c r="J125" s="21" t="s">
        <v>33</v>
      </c>
      <c r="K125" s="23" t="s">
        <v>752</v>
      </c>
      <c r="L125" s="23" t="s">
        <v>753</v>
      </c>
    </row>
    <row r="126">
      <c r="A126" s="13" t="s">
        <v>105</v>
      </c>
      <c r="B126" s="13" t="s">
        <v>747</v>
      </c>
      <c r="C126" s="25" t="str">
        <f>+91 70453 11137</f>
        <v>#ERROR!</v>
      </c>
      <c r="D126" s="19" t="s">
        <v>757</v>
      </c>
      <c r="E126" s="20">
        <v>3.4</v>
      </c>
      <c r="F126" s="20">
        <v>21.0</v>
      </c>
      <c r="G126" s="20">
        <v>125.0</v>
      </c>
      <c r="H126" s="21" t="s">
        <v>745</v>
      </c>
      <c r="I126" s="21" t="s">
        <v>33</v>
      </c>
      <c r="J126" s="21" t="s">
        <v>33</v>
      </c>
      <c r="K126" s="23" t="s">
        <v>760</v>
      </c>
      <c r="L126" s="21" t="s">
        <v>33</v>
      </c>
    </row>
    <row r="127">
      <c r="A127" s="13" t="s">
        <v>105</v>
      </c>
      <c r="B127" s="13" t="s">
        <v>313</v>
      </c>
      <c r="C127" s="14" t="s">
        <v>122</v>
      </c>
      <c r="D127" s="19" t="s">
        <v>762</v>
      </c>
      <c r="E127" s="20">
        <v>4.4</v>
      </c>
      <c r="F127" s="20">
        <v>65.0</v>
      </c>
      <c r="G127" s="20">
        <v>126.0</v>
      </c>
      <c r="H127" s="21" t="s">
        <v>766</v>
      </c>
      <c r="I127" s="21" t="s">
        <v>33</v>
      </c>
      <c r="J127" s="21" t="s">
        <v>33</v>
      </c>
      <c r="K127" s="23" t="s">
        <v>767</v>
      </c>
      <c r="L127" s="21" t="s">
        <v>33</v>
      </c>
    </row>
    <row r="128">
      <c r="A128" s="13" t="s">
        <v>105</v>
      </c>
      <c r="B128" s="13" t="s">
        <v>486</v>
      </c>
      <c r="C128" s="25" t="str">
        <f>+91 88792 07777</f>
        <v>#ERROR!</v>
      </c>
      <c r="D128" s="19" t="s">
        <v>768</v>
      </c>
      <c r="E128" s="20">
        <v>4.8</v>
      </c>
      <c r="F128" s="20">
        <v>696.0</v>
      </c>
      <c r="G128" s="20">
        <v>127.0</v>
      </c>
      <c r="H128" s="21" t="s">
        <v>485</v>
      </c>
      <c r="I128" s="21" t="s">
        <v>33</v>
      </c>
      <c r="J128" s="21" t="s">
        <v>33</v>
      </c>
      <c r="K128" s="23" t="s">
        <v>770</v>
      </c>
      <c r="L128" s="23" t="s">
        <v>772</v>
      </c>
    </row>
    <row r="129">
      <c r="A129" s="13" t="s">
        <v>105</v>
      </c>
      <c r="B129" s="13" t="s">
        <v>716</v>
      </c>
      <c r="C129" s="14" t="s">
        <v>122</v>
      </c>
      <c r="D129" s="19" t="s">
        <v>773</v>
      </c>
      <c r="E129" s="20">
        <v>4.5</v>
      </c>
      <c r="F129" s="20">
        <v>171.0</v>
      </c>
      <c r="G129" s="20">
        <v>128.0</v>
      </c>
      <c r="H129" s="21" t="s">
        <v>715</v>
      </c>
      <c r="I129" s="21" t="s">
        <v>33</v>
      </c>
      <c r="J129" s="21" t="s">
        <v>33</v>
      </c>
      <c r="K129" s="23" t="s">
        <v>775</v>
      </c>
      <c r="L129" s="21" t="s">
        <v>33</v>
      </c>
    </row>
    <row r="130">
      <c r="A130" s="13" t="s">
        <v>105</v>
      </c>
      <c r="B130" s="13" t="s">
        <v>207</v>
      </c>
      <c r="C130" s="25" t="str">
        <f>+91 90041 96965</f>
        <v>#ERROR!</v>
      </c>
      <c r="D130" s="19" t="s">
        <v>776</v>
      </c>
      <c r="E130" s="20">
        <v>4.1</v>
      </c>
      <c r="F130" s="20">
        <v>141.0</v>
      </c>
      <c r="G130" s="20">
        <v>129.0</v>
      </c>
      <c r="H130" s="21" t="s">
        <v>777</v>
      </c>
      <c r="I130" s="21" t="s">
        <v>33</v>
      </c>
      <c r="J130" s="21" t="s">
        <v>33</v>
      </c>
      <c r="K130" s="23" t="s">
        <v>778</v>
      </c>
      <c r="L130" s="21" t="s">
        <v>33</v>
      </c>
    </row>
    <row r="131">
      <c r="A131" s="13" t="s">
        <v>52</v>
      </c>
      <c r="B131" s="13" t="s">
        <v>780</v>
      </c>
      <c r="C131" s="25" t="str">
        <f>+91 93728 49134</f>
        <v>#ERROR!</v>
      </c>
      <c r="D131" s="19" t="s">
        <v>781</v>
      </c>
      <c r="E131" s="20">
        <v>4.8</v>
      </c>
      <c r="F131" s="20">
        <v>1066.0</v>
      </c>
      <c r="G131" s="20">
        <v>130.0</v>
      </c>
      <c r="H131" s="21" t="s">
        <v>782</v>
      </c>
      <c r="I131" s="21" t="s">
        <v>33</v>
      </c>
      <c r="J131" s="23" t="s">
        <v>783</v>
      </c>
      <c r="K131" s="23" t="s">
        <v>786</v>
      </c>
      <c r="L131" s="23" t="s">
        <v>787</v>
      </c>
    </row>
    <row r="132">
      <c r="A132" s="13" t="s">
        <v>52</v>
      </c>
      <c r="B132" s="13" t="s">
        <v>454</v>
      </c>
      <c r="C132" s="25" t="str">
        <f>+91 91377 91011</f>
        <v>#ERROR!</v>
      </c>
      <c r="D132" s="19" t="s">
        <v>791</v>
      </c>
      <c r="E132" s="20">
        <v>4.5</v>
      </c>
      <c r="F132" s="20">
        <v>527.0</v>
      </c>
      <c r="G132" s="20">
        <v>131.0</v>
      </c>
      <c r="H132" s="21" t="s">
        <v>453</v>
      </c>
      <c r="I132" s="21" t="s">
        <v>33</v>
      </c>
      <c r="J132" s="23" t="s">
        <v>792</v>
      </c>
      <c r="K132" s="23" t="s">
        <v>794</v>
      </c>
      <c r="L132" s="23" t="s">
        <v>41</v>
      </c>
    </row>
    <row r="133">
      <c r="A133" s="13" t="s">
        <v>52</v>
      </c>
      <c r="B133" s="13" t="s">
        <v>795</v>
      </c>
      <c r="C133" s="25" t="str">
        <f>+91 98334 86677</f>
        <v>#ERROR!</v>
      </c>
      <c r="D133" s="19" t="s">
        <v>796</v>
      </c>
      <c r="E133" s="20">
        <v>4.6</v>
      </c>
      <c r="F133" s="20">
        <v>734.0</v>
      </c>
      <c r="G133" s="20">
        <v>132.0</v>
      </c>
      <c r="H133" s="21" t="s">
        <v>800</v>
      </c>
      <c r="I133" s="21" t="s">
        <v>33</v>
      </c>
      <c r="J133" s="23" t="s">
        <v>783</v>
      </c>
      <c r="K133" s="23" t="s">
        <v>801</v>
      </c>
      <c r="L133" s="23" t="s">
        <v>802</v>
      </c>
    </row>
    <row r="134">
      <c r="A134" s="13" t="s">
        <v>52</v>
      </c>
      <c r="B134" s="13" t="s">
        <v>659</v>
      </c>
      <c r="C134" s="25" t="str">
        <f>+91 81690 45550</f>
        <v>#ERROR!</v>
      </c>
      <c r="D134" s="19" t="s">
        <v>803</v>
      </c>
      <c r="E134" s="20">
        <v>4.9</v>
      </c>
      <c r="F134" s="20">
        <v>107.0</v>
      </c>
      <c r="G134" s="20">
        <v>133.0</v>
      </c>
      <c r="H134" s="21" t="s">
        <v>658</v>
      </c>
      <c r="I134" s="21" t="s">
        <v>51</v>
      </c>
      <c r="J134" s="21" t="s">
        <v>33</v>
      </c>
      <c r="K134" s="23" t="s">
        <v>54</v>
      </c>
      <c r="L134" s="23" t="s">
        <v>56</v>
      </c>
    </row>
    <row r="135">
      <c r="A135" s="13" t="s">
        <v>52</v>
      </c>
      <c r="B135" s="13" t="s">
        <v>53</v>
      </c>
      <c r="C135" s="25" t="str">
        <f>+91 77158 03788</f>
        <v>#ERROR!</v>
      </c>
      <c r="D135" s="19" t="s">
        <v>805</v>
      </c>
      <c r="E135" s="20">
        <v>4.8</v>
      </c>
      <c r="F135" s="20">
        <v>265.0</v>
      </c>
      <c r="G135" s="20">
        <v>134.0</v>
      </c>
      <c r="H135" s="21" t="s">
        <v>50</v>
      </c>
      <c r="I135" s="21" t="s">
        <v>33</v>
      </c>
      <c r="J135" s="21" t="s">
        <v>33</v>
      </c>
      <c r="K135" s="23" t="s">
        <v>807</v>
      </c>
      <c r="L135" s="23" t="s">
        <v>809</v>
      </c>
    </row>
    <row r="136">
      <c r="A136" s="13" t="s">
        <v>52</v>
      </c>
      <c r="B136" s="13" t="s">
        <v>181</v>
      </c>
      <c r="C136" s="25" t="str">
        <f>+91 75063 10493</f>
        <v>#ERROR!</v>
      </c>
      <c r="D136" s="19" t="s">
        <v>810</v>
      </c>
      <c r="E136" s="20">
        <v>5.0</v>
      </c>
      <c r="F136" s="20">
        <v>50.0</v>
      </c>
      <c r="G136" s="20">
        <v>135.0</v>
      </c>
      <c r="H136" s="21" t="s">
        <v>179</v>
      </c>
      <c r="I136" s="21" t="s">
        <v>33</v>
      </c>
      <c r="J136" s="21" t="s">
        <v>33</v>
      </c>
      <c r="K136" s="23" t="s">
        <v>811</v>
      </c>
      <c r="L136" s="23" t="s">
        <v>814</v>
      </c>
    </row>
    <row r="137">
      <c r="A137" s="13" t="s">
        <v>52</v>
      </c>
      <c r="B137" s="13" t="s">
        <v>322</v>
      </c>
      <c r="C137" s="25" t="str">
        <f>+91 98195 04747</f>
        <v>#ERROR!</v>
      </c>
      <c r="D137" s="19" t="s">
        <v>816</v>
      </c>
      <c r="E137" s="20">
        <v>4.9</v>
      </c>
      <c r="F137" s="20">
        <v>55.0</v>
      </c>
      <c r="G137" s="20">
        <v>136.0</v>
      </c>
      <c r="H137" s="21" t="s">
        <v>321</v>
      </c>
      <c r="I137" s="21" t="s">
        <v>33</v>
      </c>
      <c r="J137" s="21" t="s">
        <v>33</v>
      </c>
      <c r="K137" s="23" t="s">
        <v>819</v>
      </c>
      <c r="L137" s="23" t="s">
        <v>821</v>
      </c>
    </row>
    <row r="138">
      <c r="A138" s="13" t="s">
        <v>52</v>
      </c>
      <c r="B138" s="13" t="s">
        <v>798</v>
      </c>
      <c r="C138" s="25" t="str">
        <f>+91 88287 00778</f>
        <v>#ERROR!</v>
      </c>
      <c r="D138" s="19" t="s">
        <v>822</v>
      </c>
      <c r="E138" s="20">
        <v>4.5</v>
      </c>
      <c r="F138" s="20">
        <v>103.0</v>
      </c>
      <c r="G138" s="20">
        <v>137.0</v>
      </c>
      <c r="H138" s="21" t="s">
        <v>797</v>
      </c>
      <c r="I138" s="21" t="s">
        <v>64</v>
      </c>
      <c r="J138" s="23" t="s">
        <v>824</v>
      </c>
      <c r="K138" s="23" t="s">
        <v>67</v>
      </c>
      <c r="L138" s="23" t="s">
        <v>71</v>
      </c>
    </row>
    <row r="139">
      <c r="A139" s="13" t="s">
        <v>52</v>
      </c>
      <c r="B139" s="13" t="s">
        <v>468</v>
      </c>
      <c r="C139" s="25" t="str">
        <f>+91 98927 48576</f>
        <v>#ERROR!</v>
      </c>
      <c r="D139" s="19" t="s">
        <v>825</v>
      </c>
      <c r="E139" s="20">
        <v>4.2</v>
      </c>
      <c r="F139" s="20">
        <v>59.0</v>
      </c>
      <c r="G139" s="20">
        <v>138.0</v>
      </c>
      <c r="H139" s="21" t="s">
        <v>467</v>
      </c>
      <c r="I139" s="21" t="s">
        <v>33</v>
      </c>
      <c r="J139" s="21" t="s">
        <v>33</v>
      </c>
      <c r="K139" s="23" t="s">
        <v>827</v>
      </c>
      <c r="L139" s="21" t="s">
        <v>33</v>
      </c>
    </row>
    <row r="140">
      <c r="A140" s="13" t="s">
        <v>52</v>
      </c>
      <c r="B140" s="13" t="s">
        <v>329</v>
      </c>
      <c r="C140" s="25" t="str">
        <f>+91 86930 02525</f>
        <v>#ERROR!</v>
      </c>
      <c r="D140" s="19" t="s">
        <v>829</v>
      </c>
      <c r="E140" s="20">
        <v>5.0</v>
      </c>
      <c r="F140" s="20">
        <v>15.0</v>
      </c>
      <c r="G140" s="20">
        <v>139.0</v>
      </c>
      <c r="H140" s="21" t="s">
        <v>328</v>
      </c>
      <c r="I140" s="21" t="s">
        <v>33</v>
      </c>
      <c r="J140" s="21" t="s">
        <v>33</v>
      </c>
      <c r="K140" s="23" t="s">
        <v>819</v>
      </c>
      <c r="L140" s="23" t="s">
        <v>821</v>
      </c>
    </row>
    <row r="141">
      <c r="A141" s="13" t="s">
        <v>267</v>
      </c>
      <c r="B141" s="13" t="s">
        <v>818</v>
      </c>
      <c r="C141" s="25" t="str">
        <f>+91 88281 81434</f>
        <v>#ERROR!</v>
      </c>
      <c r="D141" s="19" t="s">
        <v>830</v>
      </c>
      <c r="E141" s="20">
        <v>4.8</v>
      </c>
      <c r="F141" s="20">
        <v>685.0</v>
      </c>
      <c r="G141" s="20">
        <v>140.0</v>
      </c>
      <c r="H141" s="21" t="s">
        <v>817</v>
      </c>
      <c r="I141" s="21" t="s">
        <v>33</v>
      </c>
      <c r="J141" s="21" t="s">
        <v>33</v>
      </c>
      <c r="K141" s="21" t="s">
        <v>33</v>
      </c>
      <c r="L141" s="21" t="s">
        <v>33</v>
      </c>
    </row>
    <row r="142">
      <c r="A142" s="13" t="s">
        <v>267</v>
      </c>
      <c r="B142" s="13" t="s">
        <v>755</v>
      </c>
      <c r="C142" s="25" t="str">
        <f>+91 99309 63964</f>
        <v>#ERROR!</v>
      </c>
      <c r="D142" s="19" t="s">
        <v>832</v>
      </c>
      <c r="E142" s="20">
        <v>4.8</v>
      </c>
      <c r="F142" s="20">
        <v>164.0</v>
      </c>
      <c r="G142" s="20">
        <v>141.0</v>
      </c>
      <c r="H142" s="21" t="s">
        <v>754</v>
      </c>
      <c r="I142" s="21" t="s">
        <v>33</v>
      </c>
      <c r="J142" s="21" t="s">
        <v>33</v>
      </c>
      <c r="K142" s="23" t="s">
        <v>833</v>
      </c>
      <c r="L142" s="23" t="s">
        <v>834</v>
      </c>
    </row>
    <row r="143">
      <c r="A143" s="13" t="s">
        <v>267</v>
      </c>
      <c r="B143" s="13" t="s">
        <v>674</v>
      </c>
      <c r="C143" s="25" t="str">
        <f>+91 89768 72217</f>
        <v>#ERROR!</v>
      </c>
      <c r="D143" s="19" t="s">
        <v>836</v>
      </c>
      <c r="E143" s="20">
        <v>4.4</v>
      </c>
      <c r="F143" s="20">
        <v>36.0</v>
      </c>
      <c r="G143" s="20">
        <v>142.0</v>
      </c>
      <c r="H143" s="21" t="s">
        <v>673</v>
      </c>
      <c r="I143" s="21" t="s">
        <v>33</v>
      </c>
      <c r="J143" s="21" t="s">
        <v>33</v>
      </c>
      <c r="K143" s="23" t="s">
        <v>838</v>
      </c>
      <c r="L143" s="23" t="s">
        <v>839</v>
      </c>
    </row>
    <row r="144">
      <c r="A144" s="13" t="s">
        <v>267</v>
      </c>
      <c r="B144" s="13" t="s">
        <v>317</v>
      </c>
      <c r="C144" s="14" t="s">
        <v>122</v>
      </c>
      <c r="D144" s="19" t="s">
        <v>840</v>
      </c>
      <c r="E144" s="20">
        <v>5.0</v>
      </c>
      <c r="F144" s="20">
        <v>53.0</v>
      </c>
      <c r="G144" s="20">
        <v>143.0</v>
      </c>
      <c r="H144" s="21" t="s">
        <v>316</v>
      </c>
      <c r="I144" s="21" t="s">
        <v>33</v>
      </c>
      <c r="J144" s="21" t="s">
        <v>33</v>
      </c>
      <c r="K144" s="21" t="s">
        <v>33</v>
      </c>
      <c r="L144" s="21" t="s">
        <v>33</v>
      </c>
    </row>
    <row r="145">
      <c r="A145" s="13" t="s">
        <v>267</v>
      </c>
      <c r="B145" s="13" t="s">
        <v>431</v>
      </c>
      <c r="C145" s="14" t="s">
        <v>122</v>
      </c>
      <c r="D145" s="19" t="s">
        <v>842</v>
      </c>
      <c r="E145" s="20">
        <v>4.7</v>
      </c>
      <c r="F145" s="20">
        <v>75.0</v>
      </c>
      <c r="G145" s="20">
        <v>144.0</v>
      </c>
      <c r="H145" s="21" t="s">
        <v>430</v>
      </c>
      <c r="I145" s="21" t="s">
        <v>33</v>
      </c>
      <c r="J145" s="21" t="s">
        <v>33</v>
      </c>
      <c r="K145" s="23" t="s">
        <v>843</v>
      </c>
      <c r="L145" s="23" t="s">
        <v>844</v>
      </c>
    </row>
    <row r="146">
      <c r="A146" s="13" t="s">
        <v>267</v>
      </c>
      <c r="B146" s="13" t="s">
        <v>764</v>
      </c>
      <c r="C146" s="25" t="str">
        <f>+91 77389 86065</f>
        <v>#ERROR!</v>
      </c>
      <c r="D146" s="19" t="s">
        <v>845</v>
      </c>
      <c r="E146" s="20">
        <v>4.5</v>
      </c>
      <c r="F146" s="20">
        <v>74.0</v>
      </c>
      <c r="G146" s="20">
        <v>145.0</v>
      </c>
      <c r="H146" s="21" t="s">
        <v>763</v>
      </c>
      <c r="I146" s="21" t="s">
        <v>33</v>
      </c>
      <c r="J146" s="21" t="s">
        <v>33</v>
      </c>
      <c r="K146" s="23" t="s">
        <v>846</v>
      </c>
      <c r="L146" s="23" t="s">
        <v>847</v>
      </c>
    </row>
    <row r="147">
      <c r="A147" s="13" t="s">
        <v>267</v>
      </c>
      <c r="B147" s="13" t="s">
        <v>479</v>
      </c>
      <c r="C147" s="25" t="str">
        <f>+91 90044 58552</f>
        <v>#ERROR!</v>
      </c>
      <c r="D147" s="19" t="s">
        <v>848</v>
      </c>
      <c r="E147" s="20">
        <v>5.0</v>
      </c>
      <c r="F147" s="20">
        <v>53.0</v>
      </c>
      <c r="G147" s="20">
        <v>146.0</v>
      </c>
      <c r="H147" s="21" t="s">
        <v>477</v>
      </c>
      <c r="I147" s="21" t="s">
        <v>33</v>
      </c>
      <c r="J147" s="21" t="s">
        <v>33</v>
      </c>
      <c r="K147" s="23" t="s">
        <v>849</v>
      </c>
      <c r="L147" s="23" t="s">
        <v>850</v>
      </c>
    </row>
    <row r="148">
      <c r="A148" s="13" t="s">
        <v>267</v>
      </c>
      <c r="B148" s="13" t="s">
        <v>268</v>
      </c>
      <c r="C148" s="25" t="str">
        <f>+91 79726 27087</f>
        <v>#ERROR!</v>
      </c>
      <c r="D148" s="19" t="s">
        <v>851</v>
      </c>
      <c r="E148" s="20">
        <v>4.3</v>
      </c>
      <c r="F148" s="20">
        <v>29.0</v>
      </c>
      <c r="G148" s="20">
        <v>147.0</v>
      </c>
      <c r="H148" s="21" t="s">
        <v>266</v>
      </c>
      <c r="I148" s="21" t="s">
        <v>33</v>
      </c>
      <c r="J148" s="21" t="s">
        <v>33</v>
      </c>
      <c r="K148" s="21" t="s">
        <v>33</v>
      </c>
      <c r="L148" s="21" t="s">
        <v>33</v>
      </c>
    </row>
    <row r="149">
      <c r="A149" s="13" t="s">
        <v>463</v>
      </c>
      <c r="B149" s="13" t="s">
        <v>464</v>
      </c>
      <c r="C149" s="25" t="str">
        <f>+91 93214 28422</f>
        <v>#ERROR!</v>
      </c>
      <c r="D149" s="19" t="s">
        <v>852</v>
      </c>
      <c r="E149" s="20">
        <v>4.8</v>
      </c>
      <c r="F149" s="20">
        <v>24.0</v>
      </c>
      <c r="G149" s="20">
        <v>148.0</v>
      </c>
      <c r="H149" s="21" t="s">
        <v>462</v>
      </c>
      <c r="I149" s="21" t="s">
        <v>33</v>
      </c>
      <c r="J149" s="21" t="s">
        <v>33</v>
      </c>
      <c r="K149" s="21" t="s">
        <v>33</v>
      </c>
      <c r="L149" s="21" t="s">
        <v>33</v>
      </c>
    </row>
    <row r="150">
      <c r="A150" s="13" t="s">
        <v>35</v>
      </c>
      <c r="B150" s="13" t="s">
        <v>789</v>
      </c>
      <c r="C150" s="25" t="str">
        <f>+91 78008 80068</f>
        <v>#ERROR!</v>
      </c>
      <c r="D150" s="19" t="s">
        <v>853</v>
      </c>
      <c r="E150" s="20">
        <v>4.4</v>
      </c>
      <c r="F150" s="20">
        <v>441.0</v>
      </c>
      <c r="G150" s="20">
        <v>149.0</v>
      </c>
      <c r="H150" s="21" t="s">
        <v>788</v>
      </c>
      <c r="I150" s="21" t="s">
        <v>64</v>
      </c>
      <c r="J150" s="23" t="s">
        <v>854</v>
      </c>
      <c r="K150" s="23" t="s">
        <v>67</v>
      </c>
      <c r="L150" s="23" t="s">
        <v>71</v>
      </c>
    </row>
    <row r="151">
      <c r="A151" s="13" t="s">
        <v>26</v>
      </c>
      <c r="B151" s="13" t="s">
        <v>710</v>
      </c>
      <c r="C151" s="14" t="s">
        <v>122</v>
      </c>
      <c r="D151" s="19" t="s">
        <v>855</v>
      </c>
      <c r="E151" s="20">
        <v>4.9</v>
      </c>
      <c r="F151" s="20">
        <v>216.0</v>
      </c>
      <c r="G151" s="20">
        <v>150.0</v>
      </c>
      <c r="H151" s="21" t="s">
        <v>709</v>
      </c>
      <c r="I151" s="21" t="s">
        <v>33</v>
      </c>
      <c r="J151" s="21" t="s">
        <v>33</v>
      </c>
      <c r="K151" s="23" t="s">
        <v>856</v>
      </c>
      <c r="L151" s="23" t="s">
        <v>398</v>
      </c>
    </row>
    <row r="152">
      <c r="A152" s="13" t="s">
        <v>26</v>
      </c>
      <c r="B152" s="13" t="s">
        <v>27</v>
      </c>
      <c r="C152" s="25" t="str">
        <f>+91 96193 97773</f>
        <v>#ERROR!</v>
      </c>
      <c r="D152" s="19" t="s">
        <v>857</v>
      </c>
      <c r="E152" s="20">
        <v>4.8</v>
      </c>
      <c r="F152" s="20">
        <v>157.0</v>
      </c>
      <c r="G152" s="20">
        <v>151.0</v>
      </c>
      <c r="H152" s="21" t="s">
        <v>24</v>
      </c>
      <c r="I152" s="21" t="s">
        <v>33</v>
      </c>
      <c r="J152" s="21" t="s">
        <v>33</v>
      </c>
      <c r="K152" s="21" t="s">
        <v>33</v>
      </c>
      <c r="L152" s="21" t="s">
        <v>33</v>
      </c>
    </row>
    <row r="153">
      <c r="A153" s="13" t="s">
        <v>26</v>
      </c>
      <c r="B153" s="13" t="s">
        <v>214</v>
      </c>
      <c r="C153" s="25" t="str">
        <f>+91 77180 01722</f>
        <v>#ERROR!</v>
      </c>
      <c r="D153" s="19" t="s">
        <v>858</v>
      </c>
      <c r="E153" s="20">
        <v>5.0</v>
      </c>
      <c r="F153" s="20">
        <v>4.0</v>
      </c>
      <c r="G153" s="20">
        <v>152.0</v>
      </c>
      <c r="H153" s="21" t="s">
        <v>212</v>
      </c>
      <c r="I153" s="21" t="s">
        <v>33</v>
      </c>
      <c r="J153" s="23" t="s">
        <v>859</v>
      </c>
      <c r="K153" s="23" t="s">
        <v>860</v>
      </c>
      <c r="L153" s="23" t="s">
        <v>861</v>
      </c>
    </row>
    <row r="154">
      <c r="A154" s="13" t="s">
        <v>190</v>
      </c>
      <c r="B154" s="13" t="s">
        <v>191</v>
      </c>
      <c r="C154" s="25" t="str">
        <f>+91 86527 06211</f>
        <v>#ERROR!</v>
      </c>
      <c r="D154" s="19" t="s">
        <v>862</v>
      </c>
      <c r="E154" s="20">
        <v>4.9</v>
      </c>
      <c r="F154" s="20">
        <v>377.0</v>
      </c>
      <c r="G154" s="20">
        <v>153.0</v>
      </c>
      <c r="H154" s="21" t="s">
        <v>189</v>
      </c>
      <c r="I154" s="21" t="s">
        <v>33</v>
      </c>
      <c r="J154" s="21" t="s">
        <v>33</v>
      </c>
      <c r="K154" s="23" t="s">
        <v>863</v>
      </c>
      <c r="L154" s="21" t="s">
        <v>33</v>
      </c>
    </row>
    <row r="155">
      <c r="A155" s="13" t="s">
        <v>190</v>
      </c>
      <c r="B155" s="13" t="s">
        <v>813</v>
      </c>
      <c r="C155" s="25" t="str">
        <f>+91 77388 55277</f>
        <v>#ERROR!</v>
      </c>
      <c r="D155" s="19" t="s">
        <v>864</v>
      </c>
      <c r="E155" s="20">
        <v>4.9</v>
      </c>
      <c r="F155" s="20">
        <v>136.0</v>
      </c>
      <c r="G155" s="20">
        <v>154.0</v>
      </c>
      <c r="H155" s="21" t="s">
        <v>812</v>
      </c>
      <c r="I155" s="21" t="s">
        <v>33</v>
      </c>
      <c r="J155" s="21" t="s">
        <v>33</v>
      </c>
      <c r="K155" s="21" t="s">
        <v>33</v>
      </c>
      <c r="L155" s="21" t="s">
        <v>33</v>
      </c>
    </row>
    <row r="156">
      <c r="A156" s="13" t="s">
        <v>190</v>
      </c>
      <c r="B156" s="13" t="s">
        <v>335</v>
      </c>
      <c r="C156" s="25" t="str">
        <f>+91 98207 67403</f>
        <v>#ERROR!</v>
      </c>
      <c r="D156" s="19" t="s">
        <v>865</v>
      </c>
      <c r="E156" s="20">
        <v>4.9</v>
      </c>
      <c r="F156" s="20">
        <v>28.0</v>
      </c>
      <c r="G156" s="20">
        <v>155.0</v>
      </c>
      <c r="H156" s="21" t="s">
        <v>334</v>
      </c>
      <c r="I156" s="21" t="s">
        <v>33</v>
      </c>
      <c r="J156" s="21" t="s">
        <v>33</v>
      </c>
      <c r="K156" s="21" t="s">
        <v>33</v>
      </c>
      <c r="L156" s="21" t="s">
        <v>33</v>
      </c>
    </row>
    <row r="157">
      <c r="A157" s="13" t="s">
        <v>190</v>
      </c>
      <c r="B157" s="13" t="s">
        <v>759</v>
      </c>
      <c r="C157" s="25" t="str">
        <f>+91 99302 67642</f>
        <v>#ERROR!</v>
      </c>
      <c r="D157" s="19" t="s">
        <v>866</v>
      </c>
      <c r="E157" s="20">
        <v>4.7</v>
      </c>
      <c r="F157" s="20">
        <v>51.0</v>
      </c>
      <c r="G157" s="20">
        <v>156.0</v>
      </c>
      <c r="H157" s="21" t="s">
        <v>758</v>
      </c>
      <c r="I157" s="21" t="s">
        <v>33</v>
      </c>
      <c r="J157" s="21" t="s">
        <v>33</v>
      </c>
      <c r="K157" s="23" t="s">
        <v>867</v>
      </c>
      <c r="L157" s="23" t="s">
        <v>868</v>
      </c>
    </row>
  </sheetData>
  <hyperlinks>
    <hyperlink r:id="rId1" ref="G1"/>
    <hyperlink r:id="rId2" ref="D2"/>
    <hyperlink r:id="rId3" ref="J2"/>
    <hyperlink r:id="rId4" ref="K2"/>
    <hyperlink r:id="rId5" ref="L2"/>
    <hyperlink r:id="rId6" ref="D3"/>
    <hyperlink r:id="rId7" ref="K3"/>
    <hyperlink r:id="rId8" ref="L3"/>
    <hyperlink r:id="rId9" ref="D4"/>
    <hyperlink r:id="rId10" ref="J4"/>
    <hyperlink r:id="rId11" ref="K4"/>
    <hyperlink r:id="rId12" ref="L4"/>
    <hyperlink r:id="rId13" ref="D5"/>
    <hyperlink r:id="rId14" ref="J5"/>
    <hyperlink r:id="rId15" ref="K5"/>
    <hyperlink r:id="rId16" ref="D6"/>
    <hyperlink r:id="rId17" ref="D7"/>
    <hyperlink r:id="rId18" ref="J7"/>
    <hyperlink r:id="rId19" ref="K7"/>
    <hyperlink r:id="rId20" ref="L7"/>
    <hyperlink r:id="rId21" ref="D8"/>
    <hyperlink r:id="rId22" ref="K8"/>
    <hyperlink r:id="rId23" ref="L8"/>
    <hyperlink r:id="rId24" ref="D9"/>
    <hyperlink r:id="rId25" ref="K9"/>
    <hyperlink r:id="rId26" ref="L9"/>
    <hyperlink r:id="rId27" ref="D10"/>
    <hyperlink r:id="rId28" ref="K10"/>
    <hyperlink r:id="rId29" ref="L10"/>
    <hyperlink r:id="rId30" ref="D11"/>
    <hyperlink r:id="rId31" ref="K11"/>
    <hyperlink r:id="rId32" ref="L11"/>
    <hyperlink r:id="rId33" ref="D12"/>
    <hyperlink r:id="rId34" ref="J12"/>
    <hyperlink r:id="rId35" ref="K12"/>
    <hyperlink r:id="rId36" ref="L12"/>
    <hyperlink r:id="rId37" ref="D13"/>
    <hyperlink r:id="rId38" ref="J13"/>
    <hyperlink r:id="rId39" ref="K13"/>
    <hyperlink r:id="rId40" ref="L13"/>
    <hyperlink r:id="rId41" ref="D14"/>
    <hyperlink r:id="rId42" ref="K14"/>
    <hyperlink r:id="rId43" ref="L14"/>
    <hyperlink r:id="rId44" ref="D15"/>
    <hyperlink r:id="rId45" ref="J15"/>
    <hyperlink r:id="rId46" ref="L15"/>
    <hyperlink r:id="rId47" ref="D16"/>
    <hyperlink r:id="rId48" ref="K16"/>
    <hyperlink r:id="rId49" ref="L16"/>
    <hyperlink r:id="rId50" ref="D17"/>
    <hyperlink r:id="rId51" ref="K17"/>
    <hyperlink r:id="rId52" ref="L17"/>
    <hyperlink r:id="rId53" ref="D18"/>
    <hyperlink r:id="rId54" ref="K18"/>
    <hyperlink r:id="rId55" ref="L18"/>
    <hyperlink r:id="rId56" ref="D19"/>
    <hyperlink r:id="rId57" ref="D20"/>
    <hyperlink r:id="rId58" ref="K20"/>
    <hyperlink r:id="rId59" ref="L20"/>
    <hyperlink r:id="rId60" ref="D21"/>
    <hyperlink r:id="rId61" ref="K21"/>
    <hyperlink r:id="rId62" ref="L21"/>
    <hyperlink r:id="rId63" ref="D22"/>
    <hyperlink r:id="rId64" ref="J22"/>
    <hyperlink r:id="rId65" ref="K22"/>
    <hyperlink r:id="rId66" ref="L22"/>
    <hyperlink r:id="rId67" ref="D23"/>
    <hyperlink r:id="rId68" ref="J23"/>
    <hyperlink r:id="rId69" ref="K23"/>
    <hyperlink r:id="rId70" ref="L23"/>
    <hyperlink r:id="rId71" ref="D24"/>
    <hyperlink r:id="rId72" ref="J24"/>
    <hyperlink r:id="rId73" ref="K24"/>
    <hyperlink r:id="rId74" ref="L24"/>
    <hyperlink r:id="rId75" ref="D25"/>
    <hyperlink r:id="rId76" ref="K25"/>
    <hyperlink r:id="rId77" ref="L25"/>
    <hyperlink r:id="rId78" ref="D26"/>
    <hyperlink r:id="rId79" ref="K26"/>
    <hyperlink r:id="rId80" ref="L26"/>
    <hyperlink r:id="rId81" ref="D27"/>
    <hyperlink r:id="rId82" ref="K27"/>
    <hyperlink r:id="rId83" ref="L27"/>
    <hyperlink r:id="rId84" ref="D28"/>
    <hyperlink r:id="rId85" ref="K28"/>
    <hyperlink r:id="rId86" ref="L28"/>
    <hyperlink r:id="rId87" ref="D29"/>
    <hyperlink r:id="rId88" ref="K29"/>
    <hyperlink r:id="rId89" ref="L29"/>
    <hyperlink r:id="rId90" ref="D30"/>
    <hyperlink r:id="rId91" ref="K30"/>
    <hyperlink r:id="rId92" ref="D31"/>
    <hyperlink r:id="rId93" ref="K31"/>
    <hyperlink r:id="rId94" ref="L31"/>
    <hyperlink r:id="rId95" ref="D32"/>
    <hyperlink r:id="rId96" ref="J32"/>
    <hyperlink r:id="rId97" ref="K32"/>
    <hyperlink r:id="rId98" ref="L32"/>
    <hyperlink r:id="rId99" ref="D33"/>
    <hyperlink r:id="rId100" ref="J33"/>
    <hyperlink r:id="rId101" ref="D34"/>
    <hyperlink r:id="rId102" ref="K34"/>
    <hyperlink r:id="rId103" ref="L34"/>
    <hyperlink r:id="rId104" ref="D35"/>
    <hyperlink r:id="rId105" ref="D36"/>
    <hyperlink r:id="rId106" ref="D37"/>
    <hyperlink r:id="rId107" ref="D38"/>
    <hyperlink r:id="rId108" ref="K38"/>
    <hyperlink r:id="rId109" ref="L38"/>
    <hyperlink r:id="rId110" ref="D39"/>
    <hyperlink r:id="rId111" ref="D40"/>
    <hyperlink r:id="rId112" ref="D41"/>
    <hyperlink r:id="rId113" ref="D42"/>
    <hyperlink r:id="rId114" ref="D43"/>
    <hyperlink r:id="rId115" ref="D44"/>
    <hyperlink r:id="rId116" ref="K44"/>
    <hyperlink r:id="rId117" ref="L44"/>
    <hyperlink r:id="rId118" ref="D45"/>
    <hyperlink r:id="rId119" ref="K45"/>
    <hyperlink r:id="rId120" ref="L45"/>
    <hyperlink r:id="rId121" ref="D46"/>
    <hyperlink r:id="rId122" ref="K46"/>
    <hyperlink r:id="rId123" ref="L46"/>
    <hyperlink r:id="rId124" ref="D47"/>
    <hyperlink r:id="rId125" ref="K47"/>
    <hyperlink r:id="rId126" ref="L47"/>
    <hyperlink r:id="rId127" ref="D48"/>
    <hyperlink r:id="rId128" ref="K48"/>
    <hyperlink r:id="rId129" ref="D49"/>
    <hyperlink r:id="rId130" ref="K49"/>
    <hyperlink r:id="rId131" ref="L49"/>
    <hyperlink r:id="rId132" ref="D50"/>
    <hyperlink r:id="rId133" ref="K50"/>
    <hyperlink r:id="rId134" ref="L50"/>
    <hyperlink r:id="rId135" ref="D51"/>
    <hyperlink r:id="rId136" ref="K51"/>
    <hyperlink r:id="rId137" ref="L51"/>
    <hyperlink r:id="rId138" ref="D52"/>
    <hyperlink r:id="rId139" ref="J52"/>
    <hyperlink r:id="rId140" ref="K52"/>
    <hyperlink r:id="rId141" ref="L52"/>
    <hyperlink r:id="rId142" ref="D53"/>
    <hyperlink r:id="rId143" ref="D54"/>
    <hyperlink r:id="rId144" ref="D55"/>
    <hyperlink r:id="rId145" ref="D56"/>
    <hyperlink r:id="rId146" ref="D57"/>
    <hyperlink r:id="rId147" ref="D58"/>
    <hyperlink r:id="rId148" ref="D59"/>
    <hyperlink r:id="rId149" ref="D60"/>
    <hyperlink r:id="rId150" ref="D61"/>
    <hyperlink r:id="rId151" ref="D62"/>
    <hyperlink r:id="rId152" ref="D63"/>
    <hyperlink r:id="rId153" ref="D64"/>
    <hyperlink r:id="rId154" ref="D65"/>
    <hyperlink r:id="rId155" ref="D66"/>
    <hyperlink r:id="rId156" ref="J66"/>
    <hyperlink r:id="rId157" ref="K66"/>
    <hyperlink r:id="rId158" ref="L66"/>
    <hyperlink r:id="rId159" ref="D67"/>
    <hyperlink r:id="rId160" ref="J67"/>
    <hyperlink r:id="rId161" ref="K67"/>
    <hyperlink r:id="rId162" ref="L67"/>
    <hyperlink r:id="rId163" ref="D68"/>
    <hyperlink r:id="rId164" ref="K68"/>
    <hyperlink r:id="rId165" ref="L68"/>
    <hyperlink r:id="rId166" ref="D69"/>
    <hyperlink r:id="rId167" ref="D70"/>
    <hyperlink r:id="rId168" ref="J70"/>
    <hyperlink r:id="rId169" ref="L70"/>
    <hyperlink r:id="rId170" ref="D71"/>
    <hyperlink r:id="rId171" ref="D72"/>
    <hyperlink r:id="rId172" ref="D73"/>
    <hyperlink r:id="rId173" ref="D74"/>
    <hyperlink r:id="rId174" ref="D75"/>
    <hyperlink r:id="rId175" ref="D76"/>
    <hyperlink r:id="rId176" ref="D77"/>
    <hyperlink r:id="rId177" ref="D78"/>
    <hyperlink r:id="rId178" ref="K78"/>
    <hyperlink r:id="rId179" ref="L78"/>
    <hyperlink r:id="rId180" ref="D79"/>
    <hyperlink r:id="rId181" ref="D80"/>
    <hyperlink r:id="rId182" ref="D81"/>
    <hyperlink r:id="rId183" ref="D82"/>
    <hyperlink r:id="rId184" ref="J82"/>
    <hyperlink r:id="rId185" ref="K82"/>
    <hyperlink r:id="rId186" ref="L82"/>
    <hyperlink r:id="rId187" ref="D83"/>
    <hyperlink r:id="rId188" ref="J83"/>
    <hyperlink r:id="rId189" ref="K83"/>
    <hyperlink r:id="rId190" ref="L83"/>
    <hyperlink r:id="rId191" ref="D84"/>
    <hyperlink r:id="rId192" ref="J84"/>
    <hyperlink r:id="rId193" ref="K84"/>
    <hyperlink r:id="rId194" ref="L84"/>
    <hyperlink r:id="rId195" ref="D85"/>
    <hyperlink r:id="rId196" ref="K85"/>
    <hyperlink r:id="rId197" ref="D86"/>
    <hyperlink r:id="rId198" ref="J86"/>
    <hyperlink r:id="rId199" ref="K86"/>
    <hyperlink r:id="rId200" ref="L86"/>
    <hyperlink r:id="rId201" ref="D87"/>
    <hyperlink r:id="rId202" ref="K87"/>
    <hyperlink r:id="rId203" ref="L87"/>
    <hyperlink r:id="rId204" ref="D88"/>
    <hyperlink r:id="rId205" ref="D89"/>
    <hyperlink r:id="rId206" ref="K89"/>
    <hyperlink r:id="rId207" ref="L89"/>
    <hyperlink r:id="rId208" ref="D90"/>
    <hyperlink r:id="rId209" ref="J90"/>
    <hyperlink r:id="rId210" ref="K90"/>
    <hyperlink r:id="rId211" ref="L90"/>
    <hyperlink r:id="rId212" ref="D91"/>
    <hyperlink r:id="rId213" ref="K91"/>
    <hyperlink r:id="rId214" ref="L91"/>
    <hyperlink r:id="rId215" ref="D92"/>
    <hyperlink r:id="rId216" ref="K92"/>
    <hyperlink r:id="rId217" ref="L92"/>
    <hyperlink r:id="rId218" ref="D93"/>
    <hyperlink r:id="rId219" ref="K93"/>
    <hyperlink r:id="rId220" ref="L93"/>
    <hyperlink r:id="rId221" ref="D94"/>
    <hyperlink r:id="rId222" ref="J94"/>
    <hyperlink r:id="rId223" ref="K94"/>
    <hyperlink r:id="rId224" ref="L94"/>
    <hyperlink r:id="rId225" ref="D95"/>
    <hyperlink r:id="rId226" ref="K95"/>
    <hyperlink r:id="rId227" ref="L95"/>
    <hyperlink r:id="rId228" ref="D96"/>
    <hyperlink r:id="rId229" ref="K96"/>
    <hyperlink r:id="rId230" ref="L96"/>
    <hyperlink r:id="rId231" ref="D97"/>
    <hyperlink r:id="rId232" ref="J97"/>
    <hyperlink r:id="rId233" ref="K97"/>
    <hyperlink r:id="rId234" ref="L97"/>
    <hyperlink r:id="rId235" ref="D98"/>
    <hyperlink r:id="rId236" ref="K98"/>
    <hyperlink r:id="rId237" ref="L98"/>
    <hyperlink r:id="rId238" ref="D99"/>
    <hyperlink r:id="rId239" ref="K99"/>
    <hyperlink r:id="rId240" ref="L99"/>
    <hyperlink r:id="rId241" ref="D100"/>
    <hyperlink r:id="rId242" ref="K100"/>
    <hyperlink r:id="rId243" ref="L100"/>
    <hyperlink r:id="rId244" ref="D101"/>
    <hyperlink r:id="rId245" ref="K101"/>
    <hyperlink r:id="rId246" ref="D102"/>
    <hyperlink r:id="rId247" ref="J102"/>
    <hyperlink r:id="rId248" ref="D103"/>
    <hyperlink r:id="rId249" ref="D104"/>
    <hyperlink r:id="rId250" ref="D105"/>
    <hyperlink r:id="rId251" ref="J105"/>
    <hyperlink r:id="rId252" ref="K105"/>
    <hyperlink r:id="rId253" ref="L105"/>
    <hyperlink r:id="rId254" ref="D106"/>
    <hyperlink r:id="rId255" ref="D107"/>
    <hyperlink r:id="rId256" ref="D108"/>
    <hyperlink r:id="rId257" ref="D109"/>
    <hyperlink r:id="rId258" ref="D110"/>
    <hyperlink r:id="rId259" ref="D111"/>
    <hyperlink r:id="rId260" ref="D112"/>
    <hyperlink r:id="rId261" ref="D113"/>
    <hyperlink r:id="rId262" ref="J113"/>
    <hyperlink r:id="rId263" ref="K113"/>
    <hyperlink r:id="rId264" ref="L113"/>
    <hyperlink r:id="rId265" ref="D114"/>
    <hyperlink r:id="rId266" ref="K114"/>
    <hyperlink r:id="rId267" ref="L114"/>
    <hyperlink r:id="rId268" ref="D115"/>
    <hyperlink r:id="rId269" ref="D116"/>
    <hyperlink r:id="rId270" ref="D117"/>
    <hyperlink r:id="rId271" ref="D118"/>
    <hyperlink r:id="rId272" ref="D119"/>
    <hyperlink r:id="rId273" ref="D120"/>
    <hyperlink r:id="rId274" ref="D121"/>
    <hyperlink r:id="rId275" ref="D122"/>
    <hyperlink r:id="rId276" ref="D123"/>
    <hyperlink r:id="rId277" ref="K123"/>
    <hyperlink r:id="rId278" ref="L123"/>
    <hyperlink r:id="rId279" ref="D124"/>
    <hyperlink r:id="rId280" ref="K124"/>
    <hyperlink r:id="rId281" ref="L124"/>
    <hyperlink r:id="rId282" ref="D125"/>
    <hyperlink r:id="rId283" ref="K125"/>
    <hyperlink r:id="rId284" ref="L125"/>
    <hyperlink r:id="rId285" ref="D126"/>
    <hyperlink r:id="rId286" ref="K126"/>
    <hyperlink r:id="rId287" ref="D127"/>
    <hyperlink r:id="rId288" ref="K127"/>
    <hyperlink r:id="rId289" ref="D128"/>
    <hyperlink r:id="rId290" ref="K128"/>
    <hyperlink r:id="rId291" ref="L128"/>
    <hyperlink r:id="rId292" ref="D129"/>
    <hyperlink r:id="rId293" ref="K129"/>
    <hyperlink r:id="rId294" ref="D130"/>
    <hyperlink r:id="rId295" ref="K130"/>
    <hyperlink r:id="rId296" ref="D131"/>
    <hyperlink r:id="rId297" ref="J131"/>
    <hyperlink r:id="rId298" ref="K131"/>
    <hyperlink r:id="rId299" ref="L131"/>
    <hyperlink r:id="rId300" ref="D132"/>
    <hyperlink r:id="rId301" ref="J132"/>
    <hyperlink r:id="rId302" ref="K132"/>
    <hyperlink r:id="rId303" ref="L132"/>
    <hyperlink r:id="rId304" ref="D133"/>
    <hyperlink r:id="rId305" ref="J133"/>
    <hyperlink r:id="rId306" ref="K133"/>
    <hyperlink r:id="rId307" ref="L133"/>
    <hyperlink r:id="rId308" ref="D134"/>
    <hyperlink r:id="rId309" ref="K134"/>
    <hyperlink r:id="rId310" ref="L134"/>
    <hyperlink r:id="rId311" ref="D135"/>
    <hyperlink r:id="rId312" ref="K135"/>
    <hyperlink r:id="rId313" ref="L135"/>
    <hyperlink r:id="rId314" ref="D136"/>
    <hyperlink r:id="rId315" ref="K136"/>
    <hyperlink r:id="rId316" ref="L136"/>
    <hyperlink r:id="rId317" ref="D137"/>
    <hyperlink r:id="rId318" ref="K137"/>
    <hyperlink r:id="rId319" ref="L137"/>
    <hyperlink r:id="rId320" ref="D138"/>
    <hyperlink r:id="rId321" ref="J138"/>
    <hyperlink r:id="rId322" ref="K138"/>
    <hyperlink r:id="rId323" ref="L138"/>
    <hyperlink r:id="rId324" ref="D139"/>
    <hyperlink r:id="rId325" ref="K139"/>
    <hyperlink r:id="rId326" ref="D140"/>
    <hyperlink r:id="rId327" ref="K140"/>
    <hyperlink r:id="rId328" ref="L140"/>
    <hyperlink r:id="rId329" ref="D141"/>
    <hyperlink r:id="rId330" ref="D142"/>
    <hyperlink r:id="rId331" ref="K142"/>
    <hyperlink r:id="rId332" ref="L142"/>
    <hyperlink r:id="rId333" ref="D143"/>
    <hyperlink r:id="rId334" ref="K143"/>
    <hyperlink r:id="rId335" ref="L143"/>
    <hyperlink r:id="rId336" ref="D144"/>
    <hyperlink r:id="rId337" ref="D145"/>
    <hyperlink r:id="rId338" ref="K145"/>
    <hyperlink r:id="rId339" ref="L145"/>
    <hyperlink r:id="rId340" ref="D146"/>
    <hyperlink r:id="rId341" ref="K146"/>
    <hyperlink r:id="rId342" ref="L146"/>
    <hyperlink r:id="rId343" ref="D147"/>
    <hyperlink r:id="rId344" ref="K147"/>
    <hyperlink r:id="rId345" ref="L147"/>
    <hyperlink r:id="rId346" ref="D148"/>
    <hyperlink r:id="rId347" ref="D149"/>
    <hyperlink r:id="rId348" ref="D150"/>
    <hyperlink r:id="rId349" ref="J150"/>
    <hyperlink r:id="rId350" ref="K150"/>
    <hyperlink r:id="rId351" ref="L150"/>
    <hyperlink r:id="rId352" ref="D151"/>
    <hyperlink r:id="rId353" ref="K151"/>
    <hyperlink r:id="rId354" ref="L151"/>
    <hyperlink r:id="rId355" ref="D152"/>
    <hyperlink r:id="rId356" ref="D153"/>
    <hyperlink r:id="rId357" ref="J153"/>
    <hyperlink r:id="rId358" ref="K153"/>
    <hyperlink r:id="rId359" ref="L153"/>
    <hyperlink r:id="rId360" ref="D154"/>
    <hyperlink r:id="rId361" ref="K154"/>
    <hyperlink r:id="rId362" ref="D155"/>
    <hyperlink r:id="rId363" ref="D156"/>
    <hyperlink r:id="rId364" ref="D157"/>
    <hyperlink r:id="rId365" ref="K157"/>
    <hyperlink r:id="rId366" ref="L157"/>
  </hyperlinks>
  <drawing r:id="rId36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5.88"/>
    <col customWidth="1" min="3" max="3" width="13.25"/>
    <col customWidth="1" min="4" max="4" width="95.88"/>
    <col customWidth="1" min="5" max="5" width="11.0"/>
    <col customWidth="1" min="6" max="6" width="14.38"/>
    <col customWidth="1" min="7" max="7" width="24.5"/>
    <col customWidth="1" min="8" max="8" width="58.63"/>
    <col customWidth="1" min="9" max="10" width="10.75"/>
    <col customWidth="1" min="11" max="11" width="12.75"/>
    <col customWidth="1" min="12" max="12" width="17.0"/>
  </cols>
  <sheetData>
    <row r="1">
      <c r="A1" s="5" t="s">
        <v>0</v>
      </c>
      <c r="B1" s="4" t="s">
        <v>8</v>
      </c>
      <c r="C1" s="4" t="s">
        <v>2</v>
      </c>
      <c r="D1" s="4" t="s">
        <v>3</v>
      </c>
      <c r="E1" s="6" t="s">
        <v>13</v>
      </c>
      <c r="F1" s="6" t="s">
        <v>4</v>
      </c>
      <c r="G1" s="6" t="s">
        <v>16</v>
      </c>
      <c r="H1" s="6" t="s">
        <v>18</v>
      </c>
      <c r="I1" s="6" t="s">
        <v>20</v>
      </c>
      <c r="J1" s="6" t="s">
        <v>22</v>
      </c>
      <c r="K1" s="4" t="s">
        <v>12</v>
      </c>
      <c r="L1" s="4" t="s">
        <v>14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0">
        <v>1.0</v>
      </c>
      <c r="B2" s="10" t="s">
        <v>24</v>
      </c>
      <c r="C2" s="11" t="s">
        <v>26</v>
      </c>
      <c r="D2" s="11" t="s">
        <v>27</v>
      </c>
      <c r="E2" s="15" t="str">
        <f>IF(OR(Raw!D152="",LOWER(Raw!D152)="not available"),"Not Available",HYPERLINK(Raw!D152,"Maps"))</f>
        <v>Maps</v>
      </c>
      <c r="F2" s="16" t="s">
        <v>32</v>
      </c>
      <c r="G2" s="16" t="s">
        <v>33</v>
      </c>
      <c r="H2" s="16" t="s">
        <v>33</v>
      </c>
      <c r="I2" s="16" t="s">
        <v>33</v>
      </c>
      <c r="J2" s="16" t="s">
        <v>33</v>
      </c>
      <c r="K2" s="17">
        <v>4.8</v>
      </c>
      <c r="L2" s="17">
        <v>157.0</v>
      </c>
      <c r="M2" s="18"/>
      <c r="N2" s="18"/>
      <c r="O2" s="18"/>
      <c r="P2" s="1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0">
        <v>2.0</v>
      </c>
      <c r="B3" s="10" t="s">
        <v>34</v>
      </c>
      <c r="C3" s="11" t="s">
        <v>35</v>
      </c>
      <c r="D3" s="11" t="s">
        <v>36</v>
      </c>
      <c r="E3" s="15" t="str">
        <f>IF(OR(Raw!D73="",LOWER(Raw!D73)="not available"),"Not Available",HYPERLINK(Raw!D73,"Maps"))</f>
        <v>Maps</v>
      </c>
      <c r="F3" s="16" t="s">
        <v>39</v>
      </c>
      <c r="G3" s="16" t="s">
        <v>33</v>
      </c>
      <c r="H3" s="16" t="s">
        <v>33</v>
      </c>
      <c r="I3" s="8" t="str">
        <f>IF(OR(Raw!K73="",LOWER(Raw!K73)="not available"),"Not Available",HYPERLINK(Raw!K73,"Instagram"))</f>
        <v>Not Available</v>
      </c>
      <c r="J3" s="8" t="str">
        <f>IF(OR(Raw!L73="",LOWER(Raw!L73)="not available"),"Not Available",HYPERLINK(Raw!L73,"Facebook"))</f>
        <v>Not Available</v>
      </c>
      <c r="K3" s="10">
        <v>4.8</v>
      </c>
      <c r="L3" s="10">
        <v>36.0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10">
        <v>3.0</v>
      </c>
      <c r="B4" s="10" t="s">
        <v>42</v>
      </c>
      <c r="C4" s="11" t="s">
        <v>43</v>
      </c>
      <c r="D4" s="11" t="s">
        <v>44</v>
      </c>
      <c r="E4" s="15" t="str">
        <f>IF(OR(Raw!D57="",LOWER(Raw!D57)="not available"),"Not Available",HYPERLINK(Raw!D57,"Maps"))</f>
        <v>Maps</v>
      </c>
      <c r="F4" s="16" t="s">
        <v>46</v>
      </c>
      <c r="G4" s="16" t="s">
        <v>33</v>
      </c>
      <c r="H4" s="16" t="s">
        <v>33</v>
      </c>
      <c r="I4" s="8" t="str">
        <f>IF(OR(Raw!K57="",LOWER(Raw!K57)="not available"),"Not Available",HYPERLINK(Raw!K57,"Instagram"))</f>
        <v>Not Available</v>
      </c>
      <c r="J4" s="8" t="str">
        <f>IF(OR(Raw!L57="",LOWER(Raw!L57)="not available"),"Not Available",HYPERLINK(Raw!L57,"Facebook"))</f>
        <v>Not Available</v>
      </c>
      <c r="K4" s="10">
        <v>4.7</v>
      </c>
      <c r="L4" s="10">
        <v>136.0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0">
        <v>4.0</v>
      </c>
      <c r="B5" s="10" t="s">
        <v>50</v>
      </c>
      <c r="C5" s="11" t="s">
        <v>52</v>
      </c>
      <c r="D5" s="11" t="s">
        <v>53</v>
      </c>
      <c r="E5" s="15" t="str">
        <f>IF(OR(Raw!D135="",LOWER(Raw!D135)="not available"),"Not Available",HYPERLINK(Raw!D135,"Maps"))</f>
        <v>Maps</v>
      </c>
      <c r="F5" s="16" t="s">
        <v>55</v>
      </c>
      <c r="G5" s="16" t="s">
        <v>33</v>
      </c>
      <c r="H5" s="16" t="s">
        <v>33</v>
      </c>
      <c r="I5" s="24" t="str">
        <f>IF(OR(Raw!K135="",LOWER(Raw!K135)="not available"),"Not Available",HYPERLINK(Raw!K135,"Instagram"))</f>
        <v>Instagram</v>
      </c>
      <c r="J5" s="24" t="str">
        <f>IF(OR(Raw!L135="",LOWER(Raw!L135)="not available"),"Not Available",HYPERLINK(Raw!L135,"Facebook"))</f>
        <v>Facebook</v>
      </c>
      <c r="K5" s="10">
        <v>4.8</v>
      </c>
      <c r="L5" s="10">
        <v>265.0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0">
        <v>5.0</v>
      </c>
      <c r="B6" s="10" t="s">
        <v>58</v>
      </c>
      <c r="C6" s="11" t="s">
        <v>59</v>
      </c>
      <c r="D6" s="11" t="s">
        <v>61</v>
      </c>
      <c r="E6" s="15" t="str">
        <f>IF(OR(Raw!D101="",LOWER(Raw!D101)="not available"),"Not Available",HYPERLINK(Raw!D101,"Maps"))</f>
        <v>Maps</v>
      </c>
      <c r="F6" s="16" t="s">
        <v>62</v>
      </c>
      <c r="G6" s="16" t="s">
        <v>33</v>
      </c>
      <c r="H6" s="16" t="s">
        <v>33</v>
      </c>
      <c r="I6" s="24" t="str">
        <f>IF(OR(Raw!K101="",LOWER(Raw!K101)="not available"),"Not Available",HYPERLINK(Raw!K101,"Instagram"))</f>
        <v>Instagram</v>
      </c>
      <c r="J6" s="8" t="str">
        <f>IF(OR(Raw!L101="",LOWER(Raw!L101)="not available"),"Not Available",HYPERLINK(Raw!L101,"Facebook"))</f>
        <v>Not Available</v>
      </c>
      <c r="K6" s="10">
        <v>4.6</v>
      </c>
      <c r="L6" s="10">
        <v>136.0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0">
        <v>6.0</v>
      </c>
      <c r="B7" s="26" t="s">
        <v>66</v>
      </c>
      <c r="C7" s="11" t="s">
        <v>68</v>
      </c>
      <c r="D7" s="11" t="s">
        <v>69</v>
      </c>
      <c r="E7" s="15" t="str">
        <f>IF(OR(Raw!D30="",LOWER(Raw!D30)="not available"),"Not Available",HYPERLINK(Raw!D30,"Maps"))</f>
        <v>Maps</v>
      </c>
      <c r="F7" s="16" t="s">
        <v>70</v>
      </c>
      <c r="G7" s="16" t="s">
        <v>33</v>
      </c>
      <c r="H7" s="16" t="s">
        <v>33</v>
      </c>
      <c r="I7" s="24" t="str">
        <f>IF(OR(Raw!K30="",LOWER(Raw!K30)="not available"),"Not Available",HYPERLINK(Raw!K30,"Instagram"))</f>
        <v>Instagram</v>
      </c>
      <c r="J7" s="8" t="str">
        <f>IF(OR(Raw!L30="",LOWER(Raw!L30)="not available"),"Not Available",HYPERLINK(Raw!L30,"Facebook"))</f>
        <v>Not Available</v>
      </c>
      <c r="K7" s="10">
        <v>4.8</v>
      </c>
      <c r="L7" s="10">
        <v>136.0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0">
        <v>7.0</v>
      </c>
      <c r="B8" s="26" t="s">
        <v>74</v>
      </c>
      <c r="C8" s="11" t="s">
        <v>75</v>
      </c>
      <c r="D8" s="11" t="s">
        <v>76</v>
      </c>
      <c r="E8" s="15" t="str">
        <f>IF(OR(Raw!D18="",LOWER(Raw!D18)="not available"),"Not Available",HYPERLINK(Raw!D18,"Maps"))</f>
        <v>Maps</v>
      </c>
      <c r="F8" s="16" t="s">
        <v>77</v>
      </c>
      <c r="G8" s="16" t="s">
        <v>33</v>
      </c>
      <c r="H8" s="16" t="s">
        <v>33</v>
      </c>
      <c r="I8" s="24" t="str">
        <f>IF(OR(Raw!K18="",LOWER(Raw!K18)="not available"),"Not Available",HYPERLINK(Raw!K18,"Instagram"))</f>
        <v>Instagram</v>
      </c>
      <c r="J8" s="24" t="str">
        <f>IF(OR(Raw!L18="",LOWER(Raw!L18)="not available"),"Not Available",HYPERLINK(Raw!L18,"Facebook"))</f>
        <v>Facebook</v>
      </c>
      <c r="K8" s="10">
        <v>4.9</v>
      </c>
      <c r="L8" s="10">
        <v>633.0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0">
        <v>8.0</v>
      </c>
      <c r="B9" s="10" t="s">
        <v>81</v>
      </c>
      <c r="C9" s="11" t="s">
        <v>82</v>
      </c>
      <c r="D9" s="11" t="s">
        <v>83</v>
      </c>
      <c r="E9" s="15" t="str">
        <f>IF(OR(Raw!D84="",LOWER(Raw!D84)="not available"),"Not Available",HYPERLINK(Raw!D84,"Maps"))</f>
        <v>Maps</v>
      </c>
      <c r="F9" s="16" t="s">
        <v>84</v>
      </c>
      <c r="G9" s="16" t="s">
        <v>33</v>
      </c>
      <c r="H9" s="28" t="s">
        <v>81</v>
      </c>
      <c r="I9" s="24" t="str">
        <f>IF(OR(Raw!K84="",LOWER(Raw!K84)="not available"),"Not Available",HYPERLINK(Raw!K84,"Instagram"))</f>
        <v>Instagram</v>
      </c>
      <c r="J9" s="24" t="str">
        <f>IF(OR(Raw!L84="",LOWER(Raw!L84)="not available"),"Not Available",HYPERLINK(Raw!L84,"Facebook"))</f>
        <v>Facebook</v>
      </c>
      <c r="K9" s="10">
        <v>4.8</v>
      </c>
      <c r="L9" s="10">
        <v>66.0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0">
        <v>9.0</v>
      </c>
      <c r="B10" s="10" t="s">
        <v>88</v>
      </c>
      <c r="C10" s="29" t="s">
        <v>28</v>
      </c>
      <c r="D10" s="11" t="s">
        <v>86</v>
      </c>
      <c r="E10" s="15" t="str">
        <f>IF(OR(Raw!D6="",LOWER(Raw!D6)="not available"),"Not Available",HYPERLINK(Raw!D6,"Maps"))</f>
        <v>Maps</v>
      </c>
      <c r="F10" s="16" t="s">
        <v>90</v>
      </c>
      <c r="G10" s="16" t="s">
        <v>33</v>
      </c>
      <c r="H10" s="16" t="s">
        <v>33</v>
      </c>
      <c r="I10" s="8" t="str">
        <f>IF(OR(Raw!K6="",LOWER(Raw!K6)="not available"),"Not Available",HYPERLINK(Raw!K6,"Instagram"))</f>
        <v>Not Available</v>
      </c>
      <c r="J10" s="8" t="str">
        <f>IF(OR(Raw!L6="",LOWER(Raw!L6)="not available"),"Not Available",HYPERLINK(Raw!L6,"Facebook"))</f>
        <v>Not Available</v>
      </c>
      <c r="K10" s="10">
        <v>4.6</v>
      </c>
      <c r="L10" s="10">
        <v>159.0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0">
        <v>10.0</v>
      </c>
      <c r="B11" s="26" t="s">
        <v>92</v>
      </c>
      <c r="C11" s="11" t="s">
        <v>68</v>
      </c>
      <c r="D11" s="11" t="s">
        <v>93</v>
      </c>
      <c r="E11" s="15" t="str">
        <f>IF(OR(Raw!D31="",LOWER(Raw!D31)="not available"),"Not Available",HYPERLINK(Raw!D31,"Maps"))</f>
        <v>Maps</v>
      </c>
      <c r="F11" s="16" t="s">
        <v>96</v>
      </c>
      <c r="G11" s="16" t="s">
        <v>33</v>
      </c>
      <c r="H11" s="16" t="s">
        <v>33</v>
      </c>
      <c r="I11" s="24" t="str">
        <f>IF(OR(Raw!K31="",LOWER(Raw!K31)="not available"),"Not Available",HYPERLINK(Raw!K31,"Instagram"))</f>
        <v>Instagram</v>
      </c>
      <c r="J11" s="24" t="str">
        <f>IF(OR(Raw!L31="",LOWER(Raw!L31)="not available"),"Not Available",HYPERLINK(Raw!L31,"Facebook"))</f>
        <v>Facebook</v>
      </c>
      <c r="K11" s="10">
        <v>4.7</v>
      </c>
      <c r="L11" s="10">
        <v>407.0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0">
        <v>11.0</v>
      </c>
      <c r="B12" s="26" t="s">
        <v>98</v>
      </c>
      <c r="C12" s="11" t="s">
        <v>75</v>
      </c>
      <c r="D12" s="11" t="s">
        <v>99</v>
      </c>
      <c r="E12" s="15" t="str">
        <f>IF(OR(Raw!D16="",LOWER(Raw!D16)="not available"),"Not Available",HYPERLINK(Raw!D16,"Maps"))</f>
        <v>Maps</v>
      </c>
      <c r="F12" s="16" t="s">
        <v>101</v>
      </c>
      <c r="G12" s="16" t="s">
        <v>33</v>
      </c>
      <c r="H12" s="16" t="s">
        <v>33</v>
      </c>
      <c r="I12" s="24" t="str">
        <f>IF(OR(Raw!K16="",LOWER(Raw!K16)="not available"),"Not Available",HYPERLINK(Raw!K16,"Instagram"))</f>
        <v>Instagram</v>
      </c>
      <c r="J12" s="24" t="str">
        <f>IF(OR(Raw!L16="",LOWER(Raw!L16)="not available"),"Not Available",HYPERLINK(Raw!L16,"Facebook"))</f>
        <v>Facebook</v>
      </c>
      <c r="K12" s="10">
        <v>4.8</v>
      </c>
      <c r="L12" s="10">
        <v>2589.0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0">
        <v>12.0</v>
      </c>
      <c r="B13" s="30" t="s">
        <v>104</v>
      </c>
      <c r="C13" s="11" t="s">
        <v>105</v>
      </c>
      <c r="D13" s="11" t="s">
        <v>106</v>
      </c>
      <c r="E13" s="15" t="str">
        <f>IF(OR(Raw!D122="",LOWER(Raw!D122)="not available"),"Not Available",HYPERLINK(Raw!D122,"Maps"))</f>
        <v>Maps</v>
      </c>
      <c r="F13" s="16" t="s">
        <v>107</v>
      </c>
      <c r="G13" s="16" t="s">
        <v>33</v>
      </c>
      <c r="H13" s="16" t="s">
        <v>33</v>
      </c>
      <c r="I13" s="8" t="str">
        <f>IF(OR(Raw!K122="",LOWER(Raw!K122)="not available"),"Not Available",HYPERLINK(Raw!K122,"Instagram"))</f>
        <v>Not Available</v>
      </c>
      <c r="J13" s="8" t="str">
        <f>IF(OR(Raw!L122="",LOWER(Raw!L122)="not available"),"Not Available",HYPERLINK(Raw!L122,"Facebook"))</f>
        <v>Not Available</v>
      </c>
      <c r="K13" s="10">
        <v>4.6</v>
      </c>
      <c r="L13" s="10">
        <v>136.0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0">
        <v>13.0</v>
      </c>
      <c r="B14" s="30" t="s">
        <v>111</v>
      </c>
      <c r="C14" s="11" t="s">
        <v>59</v>
      </c>
      <c r="D14" s="11" t="s">
        <v>112</v>
      </c>
      <c r="E14" s="15" t="str">
        <f>IF(OR(Raw!D102="",LOWER(Raw!D102)="not available"),"Not Available",HYPERLINK(Raw!D102,"Maps"))</f>
        <v>Maps</v>
      </c>
      <c r="F14" s="16" t="s">
        <v>113</v>
      </c>
      <c r="G14" s="16" t="s">
        <v>33</v>
      </c>
      <c r="H14" s="31" t="s">
        <v>33</v>
      </c>
      <c r="I14" s="8" t="str">
        <f>IF(OR(Raw!K102="",LOWER(Raw!K102)="not available"),"Not Available",HYPERLINK(Raw!K102,"Instagram"))</f>
        <v>Not Available</v>
      </c>
      <c r="J14" s="8" t="str">
        <f>IF(OR(Raw!L102="",LOWER(Raw!L102)="not available"),"Not Available",HYPERLINK(Raw!L102,"Facebook"))</f>
        <v>Not Available</v>
      </c>
      <c r="K14" s="10">
        <v>4.9</v>
      </c>
      <c r="L14" s="10">
        <v>485.0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0">
        <v>14.0</v>
      </c>
      <c r="B15" s="30" t="s">
        <v>116</v>
      </c>
      <c r="C15" s="11" t="s">
        <v>117</v>
      </c>
      <c r="D15" s="11" t="s">
        <v>119</v>
      </c>
      <c r="E15" s="15" t="str">
        <f>IF(OR(Raw!D110="",LOWER(Raw!D110)="not available"),"Not Available",HYPERLINK(Raw!D110,"Maps"))</f>
        <v>Maps</v>
      </c>
      <c r="F15" s="16" t="s">
        <v>122</v>
      </c>
      <c r="G15" s="16" t="s">
        <v>33</v>
      </c>
      <c r="H15" s="16" t="s">
        <v>33</v>
      </c>
      <c r="I15" s="8" t="str">
        <f>IF(OR(Raw!K110="",LOWER(Raw!K110)="not available"),"Not Available",HYPERLINK(Raw!K110,"Instagram"))</f>
        <v>Not Available</v>
      </c>
      <c r="J15" s="8" t="str">
        <f>IF(OR(Raw!L110="",LOWER(Raw!L110)="not available"),"Not Available",HYPERLINK(Raw!L110,"Facebook"))</f>
        <v>Not Available</v>
      </c>
      <c r="K15" s="10">
        <v>5.0</v>
      </c>
      <c r="L15" s="10">
        <v>25.0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0">
        <v>15.0</v>
      </c>
      <c r="B16" s="16" t="s">
        <v>125</v>
      </c>
      <c r="C16" s="11" t="s">
        <v>68</v>
      </c>
      <c r="D16" s="11" t="s">
        <v>127</v>
      </c>
      <c r="E16" s="15" t="str">
        <f>IF(OR(Raw!D24="",LOWER(Raw!D24)="not available"),"Not Available",HYPERLINK(Raw!D24,"Maps"))</f>
        <v>Maps</v>
      </c>
      <c r="F16" s="16" t="s">
        <v>128</v>
      </c>
      <c r="G16" s="16" t="s">
        <v>33</v>
      </c>
      <c r="H16" s="28" t="s">
        <v>129</v>
      </c>
      <c r="I16" s="24" t="str">
        <f>IF(OR(Raw!K24="",LOWER(Raw!K24)="not available"),"Not Available",HYPERLINK(Raw!K24,"Instagram"))</f>
        <v>Instagram</v>
      </c>
      <c r="J16" s="24" t="str">
        <f>IF(OR(Raw!L24="",LOWER(Raw!L24)="not available"),"Not Available",HYPERLINK(Raw!L24,"Facebook"))</f>
        <v>Facebook</v>
      </c>
      <c r="K16" s="10">
        <v>4.7</v>
      </c>
      <c r="L16" s="10">
        <v>342.0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0">
        <v>16.0</v>
      </c>
      <c r="B17" s="30" t="s">
        <v>135</v>
      </c>
      <c r="C17" s="11" t="s">
        <v>136</v>
      </c>
      <c r="D17" s="11" t="s">
        <v>137</v>
      </c>
      <c r="E17" s="15" t="str">
        <f>IF(OR(Raw!D117="",LOWER(Raw!D117)="not available"),"Not Available",HYPERLINK(Raw!D117,"Maps"))</f>
        <v>Maps</v>
      </c>
      <c r="F17" s="16" t="s">
        <v>139</v>
      </c>
      <c r="G17" s="16" t="s">
        <v>33</v>
      </c>
      <c r="H17" s="16" t="s">
        <v>33</v>
      </c>
      <c r="I17" s="8" t="str">
        <f>IF(OR(Raw!K117="",LOWER(Raw!K117)="not available"),"Not Available",HYPERLINK(Raw!K117,"Instagram"))</f>
        <v>Not Available</v>
      </c>
      <c r="J17" s="8" t="str">
        <f>IF(OR(Raw!L117="",LOWER(Raw!L117)="not available"),"Not Available",HYPERLINK(Raw!L117,"Facebook"))</f>
        <v>Not Available</v>
      </c>
      <c r="K17" s="10">
        <v>4.3</v>
      </c>
      <c r="L17" s="10">
        <v>167.0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0">
        <v>17.0</v>
      </c>
      <c r="B18" s="30" t="s">
        <v>142</v>
      </c>
      <c r="C18" s="11" t="s">
        <v>136</v>
      </c>
      <c r="D18" s="11" t="s">
        <v>145</v>
      </c>
      <c r="E18" s="15" t="str">
        <f>IF(OR(Raw!D119="",LOWER(Raw!D119)="not available"),"Not Available",HYPERLINK(Raw!D119,"Maps"))</f>
        <v>Maps</v>
      </c>
      <c r="F18" s="16" t="s">
        <v>147</v>
      </c>
      <c r="G18" s="16" t="s">
        <v>33</v>
      </c>
      <c r="H18" s="16" t="s">
        <v>33</v>
      </c>
      <c r="I18" s="8" t="str">
        <f>IF(OR(Raw!K119="",LOWER(Raw!K119)="not available"),"Not Available",HYPERLINK(Raw!K119,"Instagram"))</f>
        <v>Not Available</v>
      </c>
      <c r="J18" s="8" t="str">
        <f>IF(OR(Raw!L119="",LOWER(Raw!L119)="not available"),"Not Available",HYPERLINK(Raw!L119,"Facebook"))</f>
        <v>Not Available</v>
      </c>
      <c r="K18" s="10">
        <v>4.4</v>
      </c>
      <c r="L18" s="10">
        <v>391.0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0">
        <v>18.0</v>
      </c>
      <c r="B19" s="30" t="s">
        <v>150</v>
      </c>
      <c r="C19" s="11" t="s">
        <v>151</v>
      </c>
      <c r="D19" s="11" t="s">
        <v>152</v>
      </c>
      <c r="E19" s="15" t="str">
        <f>IF(OR(Raw!D50="",LOWER(Raw!D50)="not available"),"Not Available",HYPERLINK(Raw!D50,"Maps"))</f>
        <v>Maps</v>
      </c>
      <c r="F19" s="16" t="s">
        <v>154</v>
      </c>
      <c r="G19" s="16" t="s">
        <v>33</v>
      </c>
      <c r="H19" s="16" t="s">
        <v>33</v>
      </c>
      <c r="I19" s="24" t="str">
        <f>IF(OR(Raw!K50="",LOWER(Raw!K50)="not available"),"Not Available",HYPERLINK(Raw!K50,"Instagram"))</f>
        <v>Instagram</v>
      </c>
      <c r="J19" s="24" t="str">
        <f>IF(OR(Raw!L50="",LOWER(Raw!L50)="not available"),"Not Available",HYPERLINK(Raw!L50,"Facebook"))</f>
        <v>Facebook</v>
      </c>
      <c r="K19" s="10">
        <v>4.8</v>
      </c>
      <c r="L19" s="10">
        <v>140.0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0">
        <v>19.0</v>
      </c>
      <c r="B20" s="30" t="s">
        <v>156</v>
      </c>
      <c r="C20" s="11" t="s">
        <v>157</v>
      </c>
      <c r="D20" s="11" t="s">
        <v>158</v>
      </c>
      <c r="E20" s="15" t="str">
        <f>IF(OR(Raw!D93="",LOWER(Raw!D93)="not available"),"Not Available",HYPERLINK(Raw!D93,"Maps"))</f>
        <v>Maps</v>
      </c>
      <c r="F20" s="16" t="s">
        <v>161</v>
      </c>
      <c r="G20" s="16" t="s">
        <v>33</v>
      </c>
      <c r="H20" s="16" t="s">
        <v>33</v>
      </c>
      <c r="I20" s="24" t="str">
        <f>IF(OR(Raw!K93="",LOWER(Raw!K93)="not available"),"Not Available",HYPERLINK(Raw!K93,"Instagram"))</f>
        <v>Instagram</v>
      </c>
      <c r="J20" s="24" t="str">
        <f>IF(OR(Raw!L93="",LOWER(Raw!L93)="not available"),"Not Available",HYPERLINK(Raw!L93,"Facebook"))</f>
        <v>Facebook</v>
      </c>
      <c r="K20" s="10">
        <v>4.8</v>
      </c>
      <c r="L20" s="10">
        <v>596.0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0">
        <v>20.0</v>
      </c>
      <c r="B21" s="30" t="s">
        <v>163</v>
      </c>
      <c r="C21" s="11" t="s">
        <v>43</v>
      </c>
      <c r="D21" s="11" t="s">
        <v>164</v>
      </c>
      <c r="E21" s="15" t="str">
        <f>IF(OR(Raw!D62="",LOWER(Raw!D62)="not available"),"Not Available",HYPERLINK(Raw!D62,"Maps"))</f>
        <v>Maps</v>
      </c>
      <c r="F21" s="16" t="s">
        <v>122</v>
      </c>
      <c r="G21" s="16" t="s">
        <v>33</v>
      </c>
      <c r="H21" s="16" t="s">
        <v>33</v>
      </c>
      <c r="I21" s="8" t="str">
        <f>IF(OR(Raw!K62="",LOWER(Raw!K62)="not available"),"Not Available",HYPERLINK(Raw!K62,"Instagram"))</f>
        <v>Not Available</v>
      </c>
      <c r="J21" s="8" t="str">
        <f>IF(OR(Raw!L62="",LOWER(Raw!L62)="not available"),"Not Available",HYPERLINK(Raw!L62,"Facebook"))</f>
        <v>Not Available</v>
      </c>
      <c r="K21" s="10">
        <v>4.3</v>
      </c>
      <c r="L21" s="10">
        <v>35.0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0">
        <v>21.0</v>
      </c>
      <c r="B22" s="16" t="s">
        <v>167</v>
      </c>
      <c r="C22" s="11" t="s">
        <v>68</v>
      </c>
      <c r="D22" s="11" t="s">
        <v>168</v>
      </c>
      <c r="E22" s="15" t="str">
        <f>IF(OR(Raw!D22="",LOWER(Raw!D22)="not available"),"Not Available",HYPERLINK(Raw!D22,"Maps"))</f>
        <v>Maps</v>
      </c>
      <c r="F22" s="16" t="s">
        <v>170</v>
      </c>
      <c r="G22" s="16" t="s">
        <v>171</v>
      </c>
      <c r="H22" s="28" t="s">
        <v>172</v>
      </c>
      <c r="I22" s="24" t="str">
        <f>IF(OR(Raw!K22="",LOWER(Raw!K22)="not available"),"Not Available",HYPERLINK(Raw!K22,"Instagram"))</f>
        <v>Instagram</v>
      </c>
      <c r="J22" s="24" t="str">
        <f>IF(OR(Raw!L22="",LOWER(Raw!L22)="not available"),"Not Available",HYPERLINK(Raw!L22,"Facebook"))</f>
        <v>Facebook</v>
      </c>
      <c r="K22" s="10">
        <v>4.7</v>
      </c>
      <c r="L22" s="10">
        <v>1340.0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0">
        <v>22.0</v>
      </c>
      <c r="B23" s="30" t="s">
        <v>94</v>
      </c>
      <c r="C23" s="11" t="s">
        <v>28</v>
      </c>
      <c r="D23" s="11" t="s">
        <v>89</v>
      </c>
      <c r="E23" s="15" t="str">
        <f>IF(OR(Raw!D7="",LOWER(Raw!D7)="not available"),"Not Available",HYPERLINK(Raw!D7,"Maps"))</f>
        <v>Maps</v>
      </c>
      <c r="F23" s="16" t="s">
        <v>178</v>
      </c>
      <c r="G23" s="16" t="s">
        <v>33</v>
      </c>
      <c r="H23" s="16" t="s">
        <v>33</v>
      </c>
      <c r="I23" s="24" t="str">
        <f>IF(OR(Raw!K7="",LOWER(Raw!K7)="not available"),"Not Available",HYPERLINK(Raw!K7,"Instagram"))</f>
        <v>Instagram</v>
      </c>
      <c r="J23" s="24" t="str">
        <f>IF(OR(Raw!L7="",LOWER(Raw!L7)="not available"),"Not Available",HYPERLINK(Raw!L7,"Facebook"))</f>
        <v>Facebook</v>
      </c>
      <c r="K23" s="10">
        <v>4.8</v>
      </c>
      <c r="L23" s="10">
        <v>319.0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0">
        <v>23.0</v>
      </c>
      <c r="B24" s="30" t="s">
        <v>179</v>
      </c>
      <c r="C24" s="11" t="s">
        <v>52</v>
      </c>
      <c r="D24" s="11" t="s">
        <v>181</v>
      </c>
      <c r="E24" s="15" t="str">
        <f>IF(OR(Raw!D136="",LOWER(Raw!D136)="not available"),"Not Available",HYPERLINK(Raw!D136,"Maps"))</f>
        <v>Maps</v>
      </c>
      <c r="F24" s="16" t="s">
        <v>182</v>
      </c>
      <c r="G24" s="16" t="s">
        <v>33</v>
      </c>
      <c r="H24" s="16" t="s">
        <v>33</v>
      </c>
      <c r="I24" s="24" t="str">
        <f>IF(OR(Raw!K136="",LOWER(Raw!K136)="not available"),"Not Available",HYPERLINK(Raw!K136,"Instagram"))</f>
        <v>Instagram</v>
      </c>
      <c r="J24" s="24" t="str">
        <f>IF(OR(Raw!L136="",LOWER(Raw!L136)="not available"),"Not Available",HYPERLINK(Raw!L136,"Facebook"))</f>
        <v>Facebook</v>
      </c>
      <c r="K24" s="10">
        <v>5.0</v>
      </c>
      <c r="L24" s="10">
        <v>50.0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0">
        <v>24.0</v>
      </c>
      <c r="B25" s="30" t="s">
        <v>184</v>
      </c>
      <c r="C25" s="11" t="s">
        <v>35</v>
      </c>
      <c r="D25" s="11" t="s">
        <v>185</v>
      </c>
      <c r="E25" s="15" t="str">
        <f>IF(OR(Raw!D72="",LOWER(Raw!D72)="not available"),"Not Available",HYPERLINK(Raw!D72,"Maps"))</f>
        <v>Maps</v>
      </c>
      <c r="F25" s="16" t="s">
        <v>187</v>
      </c>
      <c r="G25" s="16" t="s">
        <v>33</v>
      </c>
      <c r="H25" s="16" t="s">
        <v>33</v>
      </c>
      <c r="I25" s="8" t="str">
        <f>IF(OR(Raw!K72="",LOWER(Raw!K72)="not available"),"Not Available",HYPERLINK(Raw!K72,"Instagram"))</f>
        <v>Not Available</v>
      </c>
      <c r="J25" s="8" t="str">
        <f>IF(OR(Raw!L72="",LOWER(Raw!L72)="not available"),"Not Available",HYPERLINK(Raw!L72,"Facebook"))</f>
        <v>Not Available</v>
      </c>
      <c r="K25" s="10">
        <v>4.2</v>
      </c>
      <c r="L25" s="10">
        <v>157.0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0">
        <v>25.0</v>
      </c>
      <c r="B26" s="30" t="s">
        <v>189</v>
      </c>
      <c r="C26" s="11" t="s">
        <v>190</v>
      </c>
      <c r="D26" s="11" t="s">
        <v>191</v>
      </c>
      <c r="E26" s="15" t="str">
        <f>IF(OR(Raw!D154="",LOWER(Raw!D154)="not available"),"Not Available",HYPERLINK(Raw!D154,"Maps"))</f>
        <v>Maps</v>
      </c>
      <c r="F26" s="16" t="s">
        <v>193</v>
      </c>
      <c r="G26" s="16" t="s">
        <v>33</v>
      </c>
      <c r="H26" s="16" t="s">
        <v>33</v>
      </c>
      <c r="I26" s="24" t="str">
        <f>IF(OR(Raw!K154="",LOWER(Raw!K154)="not available"),"Not Available",HYPERLINK(Raw!K154,"Instagram"))</f>
        <v>Instagram</v>
      </c>
      <c r="J26" s="8" t="str">
        <f>IF(OR(Raw!L154="",LOWER(Raw!L154)="not available"),"Not Available",HYPERLINK(Raw!L154,"Facebook"))</f>
        <v>Not Available</v>
      </c>
      <c r="K26" s="10">
        <v>4.9</v>
      </c>
      <c r="L26" s="10">
        <v>377.0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10">
        <v>26.0</v>
      </c>
      <c r="B27" s="30" t="s">
        <v>196</v>
      </c>
      <c r="C27" s="11" t="s">
        <v>151</v>
      </c>
      <c r="D27" s="11" t="s">
        <v>198</v>
      </c>
      <c r="E27" s="15" t="str">
        <f>IF(OR(Raw!D42="",LOWER(Raw!D42)="not available"),"Not Available",HYPERLINK(Raw!D42,"Maps"))</f>
        <v>Maps</v>
      </c>
      <c r="F27" s="16" t="s">
        <v>199</v>
      </c>
      <c r="G27" s="16" t="s">
        <v>33</v>
      </c>
      <c r="H27" s="16" t="s">
        <v>33</v>
      </c>
      <c r="I27" s="8" t="str">
        <f>IF(OR(Raw!K42="",LOWER(Raw!K42)="not available"),"Not Available",HYPERLINK(Raw!K42,"Instagram"))</f>
        <v>Not Available</v>
      </c>
      <c r="J27" s="8" t="str">
        <f>IF(OR(Raw!L42="",LOWER(Raw!L42)="not available"),"Not Available",HYPERLINK(Raw!L42,"Facebook"))</f>
        <v>Not Available</v>
      </c>
      <c r="K27" s="10">
        <v>4.7</v>
      </c>
      <c r="L27" s="10">
        <v>470.0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0">
        <v>27.0</v>
      </c>
      <c r="B28" s="30" t="s">
        <v>201</v>
      </c>
      <c r="C28" s="11" t="s">
        <v>151</v>
      </c>
      <c r="D28" s="11" t="s">
        <v>202</v>
      </c>
      <c r="E28" s="15" t="str">
        <f>IF(OR(Raw!D46="",LOWER(Raw!D46)="not available"),"Not Available",HYPERLINK(Raw!D46,"Maps"))</f>
        <v>Maps</v>
      </c>
      <c r="F28" s="16" t="s">
        <v>203</v>
      </c>
      <c r="G28" s="16" t="s">
        <v>33</v>
      </c>
      <c r="H28" s="16" t="s">
        <v>33</v>
      </c>
      <c r="I28" s="24" t="str">
        <f>IF(OR(Raw!K46="",LOWER(Raw!K46)="not available"),"Not Available",HYPERLINK(Raw!K46,"Instagram"))</f>
        <v>Instagram</v>
      </c>
      <c r="J28" s="24" t="str">
        <f>IF(OR(Raw!L46="",LOWER(Raw!L46)="not available"),"Not Available",HYPERLINK(Raw!L46,"Facebook"))</f>
        <v>Facebook</v>
      </c>
      <c r="K28" s="10">
        <v>4.9</v>
      </c>
      <c r="L28" s="10">
        <v>176.0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0">
        <v>28.0</v>
      </c>
      <c r="B29" s="30" t="s">
        <v>206</v>
      </c>
      <c r="C29" s="11" t="s">
        <v>105</v>
      </c>
      <c r="D29" s="11" t="s">
        <v>207</v>
      </c>
      <c r="E29" s="15" t="str">
        <f>IF(OR(Raw!D130="",LOWER(Raw!D130)="not available"),"Not Available",HYPERLINK(Raw!D130,"Maps"))</f>
        <v>Maps</v>
      </c>
      <c r="F29" s="16" t="s">
        <v>210</v>
      </c>
      <c r="G29" s="16" t="s">
        <v>33</v>
      </c>
      <c r="H29" s="16" t="s">
        <v>33</v>
      </c>
      <c r="I29" s="24" t="str">
        <f>IF(OR(Raw!K130="",LOWER(Raw!K130)="not available"),"Not Available",HYPERLINK(Raw!K130,"Instagram"))</f>
        <v>Instagram</v>
      </c>
      <c r="J29" s="8" t="str">
        <f>IF(OR(Raw!L130="",LOWER(Raw!L130)="not available"),"Not Available",HYPERLINK(Raw!L130,"Facebook"))</f>
        <v>Not Available</v>
      </c>
      <c r="K29" s="10">
        <v>4.1</v>
      </c>
      <c r="L29" s="10">
        <v>141.0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0">
        <v>29.0</v>
      </c>
      <c r="B30" s="30" t="s">
        <v>212</v>
      </c>
      <c r="C30" s="11" t="s">
        <v>26</v>
      </c>
      <c r="D30" s="11" t="s">
        <v>214</v>
      </c>
      <c r="E30" s="15" t="str">
        <f>IF(OR(Raw!D153="",LOWER(Raw!D153)="not available"),"Not Available",HYPERLINK(Raw!D153,"Maps"))</f>
        <v>Maps</v>
      </c>
      <c r="F30" s="16" t="s">
        <v>215</v>
      </c>
      <c r="G30" s="16" t="s">
        <v>33</v>
      </c>
      <c r="H30" s="32" t="s">
        <v>33</v>
      </c>
      <c r="I30" s="24" t="str">
        <f>IF(OR(Raw!K153="",LOWER(Raw!K153)="not available"),"Not Available",HYPERLINK(Raw!K153,"Instagram"))</f>
        <v>Instagram</v>
      </c>
      <c r="J30" s="24" t="str">
        <f>IF(OR(Raw!L153="",LOWER(Raw!L153)="not available"),"Not Available",HYPERLINK(Raw!L153,"Facebook"))</f>
        <v>Facebook</v>
      </c>
      <c r="K30" s="10">
        <v>5.0</v>
      </c>
      <c r="L30" s="10">
        <v>4.0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10">
        <v>30.0</v>
      </c>
      <c r="B31" s="30" t="s">
        <v>219</v>
      </c>
      <c r="C31" s="11" t="s">
        <v>136</v>
      </c>
      <c r="D31" s="11" t="s">
        <v>220</v>
      </c>
      <c r="E31" s="15" t="str">
        <f>IF(OR(Raw!D121="",LOWER(Raw!D121)="not available"),"Not Available",HYPERLINK(Raw!D121,"Maps"))</f>
        <v>Maps</v>
      </c>
      <c r="F31" s="16" t="s">
        <v>122</v>
      </c>
      <c r="G31" s="16" t="s">
        <v>33</v>
      </c>
      <c r="H31" s="16" t="s">
        <v>33</v>
      </c>
      <c r="I31" s="8" t="str">
        <f>IF(OR(Raw!K121="",LOWER(Raw!K121)="not available"),"Not Available",HYPERLINK(Raw!K121,"Instagram"))</f>
        <v>Not Available</v>
      </c>
      <c r="J31" s="8" t="str">
        <f>IF(OR(Raw!L121="",LOWER(Raw!L121)="not available"),"Not Available",HYPERLINK(Raw!L121,"Facebook"))</f>
        <v>Not Available</v>
      </c>
      <c r="K31" s="10">
        <v>5.0</v>
      </c>
      <c r="L31" s="10">
        <v>19.0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10">
        <v>31.0</v>
      </c>
      <c r="B32" s="30" t="s">
        <v>223</v>
      </c>
      <c r="C32" s="11" t="s">
        <v>136</v>
      </c>
      <c r="D32" s="11" t="s">
        <v>225</v>
      </c>
      <c r="E32" s="15" t="str">
        <f>IF(OR(Raw!D113="",LOWER(Raw!D113)="not available"),"Not Available",HYPERLINK(Raw!D113,"Maps"))</f>
        <v>Maps</v>
      </c>
      <c r="F32" s="16" t="s">
        <v>226</v>
      </c>
      <c r="G32" s="16" t="s">
        <v>227</v>
      </c>
      <c r="H32" s="28" t="s">
        <v>228</v>
      </c>
      <c r="I32" s="24" t="str">
        <f>IF(OR(Raw!K113="",LOWER(Raw!K113)="not available"),"Not Available",HYPERLINK(Raw!K113,"Instagram"))</f>
        <v>Instagram</v>
      </c>
      <c r="J32" s="24" t="str">
        <f>IF(OR(Raw!L113="",LOWER(Raw!L113)="not available"),"Not Available",HYPERLINK(Raw!L113,"Facebook"))</f>
        <v>Facebook</v>
      </c>
      <c r="K32" s="10">
        <v>5.0</v>
      </c>
      <c r="L32" s="10">
        <v>361.0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10">
        <v>32.0</v>
      </c>
      <c r="B33" s="10" t="s">
        <v>232</v>
      </c>
      <c r="C33" s="11" t="s">
        <v>43</v>
      </c>
      <c r="D33" s="11" t="s">
        <v>233</v>
      </c>
      <c r="E33" s="15" t="str">
        <f>IF(OR(Raw!D56="",LOWER(Raw!D56)="not available"),"Not Available",HYPERLINK(Raw!D56,"Maps"))</f>
        <v>Maps</v>
      </c>
      <c r="F33" s="16" t="s">
        <v>235</v>
      </c>
      <c r="G33" s="16" t="s">
        <v>33</v>
      </c>
      <c r="H33" s="16" t="s">
        <v>33</v>
      </c>
      <c r="I33" s="8" t="str">
        <f>IF(OR(Raw!K56="",LOWER(Raw!K56)="not available"),"Not Available",HYPERLINK(Raw!K56,"Instagram"))</f>
        <v>Not Available</v>
      </c>
      <c r="J33" s="8" t="str">
        <f>IF(OR(Raw!L56="",LOWER(Raw!L56)="not available"),"Not Available",HYPERLINK(Raw!L56,"Facebook"))</f>
        <v>Not Available</v>
      </c>
      <c r="K33" s="10">
        <v>4.8</v>
      </c>
      <c r="L33" s="10">
        <v>38.0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10">
        <v>33.0</v>
      </c>
      <c r="B34" s="10" t="s">
        <v>237</v>
      </c>
      <c r="C34" s="11" t="s">
        <v>117</v>
      </c>
      <c r="D34" s="11" t="s">
        <v>239</v>
      </c>
      <c r="E34" s="15" t="str">
        <f>IF(OR(Raw!D103="",LOWER(Raw!D103)="not available"),"Not Available",HYPERLINK(Raw!D103,"Maps"))</f>
        <v>Maps</v>
      </c>
      <c r="F34" s="16" t="s">
        <v>240</v>
      </c>
      <c r="G34" s="16" t="s">
        <v>33</v>
      </c>
      <c r="H34" s="16" t="s">
        <v>33</v>
      </c>
      <c r="I34" s="8" t="str">
        <f>IF(OR(Raw!K103="",LOWER(Raw!K103)="not available"),"Not Available",HYPERLINK(Raw!K103,"Instagram"))</f>
        <v>Not Available</v>
      </c>
      <c r="J34" s="8" t="str">
        <f>IF(OR(Raw!L103="",LOWER(Raw!L103)="not available"),"Not Available",HYPERLINK(Raw!L103,"Facebook"))</f>
        <v>Not Available</v>
      </c>
      <c r="K34" s="10">
        <v>5.0</v>
      </c>
      <c r="L34" s="10">
        <v>175.0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0">
        <v>34.0</v>
      </c>
      <c r="B35" s="10" t="s">
        <v>243</v>
      </c>
      <c r="C35" s="11" t="s">
        <v>151</v>
      </c>
      <c r="D35" s="11" t="s">
        <v>245</v>
      </c>
      <c r="E35" s="15" t="str">
        <f>IF(OR(Raw!D54="",LOWER(Raw!D54)="not available"),"Not Available",HYPERLINK(Raw!D54,"Maps"))</f>
        <v>Maps</v>
      </c>
      <c r="F35" s="16" t="s">
        <v>246</v>
      </c>
      <c r="G35" s="16" t="s">
        <v>33</v>
      </c>
      <c r="H35" s="16" t="s">
        <v>33</v>
      </c>
      <c r="I35" s="8" t="str">
        <f>IF(OR(Raw!K54="",LOWER(Raw!K54)="not available"),"Not Available",HYPERLINK(Raw!K54,"Instagram"))</f>
        <v>Not Available</v>
      </c>
      <c r="J35" s="8" t="str">
        <f>IF(OR(Raw!L54="",LOWER(Raw!L54)="not available"),"Not Available",HYPERLINK(Raw!L54,"Facebook"))</f>
        <v>Not Available</v>
      </c>
      <c r="K35" s="10">
        <v>5.0</v>
      </c>
      <c r="L35" s="10">
        <v>29.0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10">
        <v>35.0</v>
      </c>
      <c r="B36" s="10" t="s">
        <v>251</v>
      </c>
      <c r="C36" s="11" t="s">
        <v>252</v>
      </c>
      <c r="D36" s="11" t="s">
        <v>253</v>
      </c>
      <c r="E36" s="15" t="str">
        <f>IF(OR(Raw!D37="",LOWER(Raw!D37)="not available"),"Not Available",HYPERLINK(Raw!D37,"Maps"))</f>
        <v>Maps</v>
      </c>
      <c r="F36" s="16" t="s">
        <v>254</v>
      </c>
      <c r="G36" s="16" t="s">
        <v>33</v>
      </c>
      <c r="H36" s="16" t="s">
        <v>33</v>
      </c>
      <c r="I36" s="8" t="str">
        <f>IF(OR(Raw!K37="",LOWER(Raw!K37)="not available"),"Not Available",HYPERLINK(Raw!K37,"Instagram"))</f>
        <v>Not Available</v>
      </c>
      <c r="J36" s="8" t="str">
        <f>IF(OR(Raw!L37="",LOWER(Raw!L37)="not available"),"Not Available",HYPERLINK(Raw!L37,"Facebook"))</f>
        <v>Not Available</v>
      </c>
      <c r="K36" s="10">
        <v>4.7</v>
      </c>
      <c r="L36" s="10">
        <v>260.0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10">
        <v>36.0</v>
      </c>
      <c r="B37" s="10" t="s">
        <v>256</v>
      </c>
      <c r="C37" s="11" t="s">
        <v>43</v>
      </c>
      <c r="D37" s="11" t="s">
        <v>258</v>
      </c>
      <c r="E37" s="15" t="str">
        <f>IF(OR(Raw!D60="",LOWER(Raw!D60)="not available"),"Not Available",HYPERLINK(Raw!D60,"Maps"))</f>
        <v>Maps</v>
      </c>
      <c r="F37" s="16" t="s">
        <v>259</v>
      </c>
      <c r="G37" s="16" t="s">
        <v>33</v>
      </c>
      <c r="H37" s="16" t="s">
        <v>33</v>
      </c>
      <c r="I37" s="8" t="str">
        <f>IF(OR(Raw!K60="",LOWER(Raw!K60)="not available"),"Not Available",HYPERLINK(Raw!K60,"Instagram"))</f>
        <v>Not Available</v>
      </c>
      <c r="J37" s="8" t="str">
        <f>IF(OR(Raw!L60="",LOWER(Raw!L60)="not available"),"Not Available",HYPERLINK(Raw!L60,"Facebook"))</f>
        <v>Not Available</v>
      </c>
      <c r="K37" s="10">
        <v>4.1</v>
      </c>
      <c r="L37" s="10">
        <v>74.0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0">
        <v>37.0</v>
      </c>
      <c r="B38" s="10" t="s">
        <v>260</v>
      </c>
      <c r="C38" s="11" t="s">
        <v>43</v>
      </c>
      <c r="D38" s="11" t="s">
        <v>262</v>
      </c>
      <c r="E38" s="15" t="str">
        <f>IF(OR(Raw!D59="",LOWER(Raw!D59)="not available"),"Not Available",HYPERLINK(Raw!D59,"Maps"))</f>
        <v>Maps</v>
      </c>
      <c r="F38" s="16" t="s">
        <v>263</v>
      </c>
      <c r="G38" s="16" t="s">
        <v>33</v>
      </c>
      <c r="H38" s="16" t="s">
        <v>33</v>
      </c>
      <c r="I38" s="8" t="str">
        <f>IF(OR(Raw!K59="",LOWER(Raw!K59)="not available"),"Not Available",HYPERLINK(Raw!K59,"Instagram"))</f>
        <v>Not Available</v>
      </c>
      <c r="J38" s="8" t="str">
        <f>IF(OR(Raw!L59="",LOWER(Raw!L59)="not available"),"Not Available",HYPERLINK(Raw!L59,"Facebook"))</f>
        <v>Not Available</v>
      </c>
      <c r="K38" s="10">
        <v>4.7</v>
      </c>
      <c r="L38" s="10">
        <v>123.0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10">
        <v>38.0</v>
      </c>
      <c r="B39" s="10" t="s">
        <v>266</v>
      </c>
      <c r="C39" s="11" t="s">
        <v>267</v>
      </c>
      <c r="D39" s="11" t="s">
        <v>268</v>
      </c>
      <c r="E39" s="15" t="str">
        <f>IF(OR(Raw!D148="",LOWER(Raw!D148)="not available"),"Not Available",HYPERLINK(Raw!D148,"Maps"))</f>
        <v>Maps</v>
      </c>
      <c r="F39" s="16" t="s">
        <v>270</v>
      </c>
      <c r="G39" s="16" t="s">
        <v>33</v>
      </c>
      <c r="H39" s="16" t="s">
        <v>33</v>
      </c>
      <c r="I39" s="8" t="str">
        <f>IF(OR(Raw!K148="",LOWER(Raw!K148)="not available"),"Not Available",HYPERLINK(Raw!K148,"Instagram"))</f>
        <v>Not Available</v>
      </c>
      <c r="J39" s="8" t="str">
        <f>IF(OR(Raw!L148="",LOWER(Raw!L148)="not available"),"Not Available",HYPERLINK(Raw!L148,"Facebook"))</f>
        <v>Not Available</v>
      </c>
      <c r="K39" s="10">
        <v>4.3</v>
      </c>
      <c r="L39" s="10">
        <v>29.0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0">
        <v>39.0</v>
      </c>
      <c r="B40" s="10" t="s">
        <v>273</v>
      </c>
      <c r="C40" s="11" t="s">
        <v>105</v>
      </c>
      <c r="D40" s="11" t="s">
        <v>274</v>
      </c>
      <c r="E40" s="15" t="str">
        <f>IF(OR(Raw!D124="",LOWER(Raw!D124)="not available"),"Not Available",HYPERLINK(Raw!D124,"Maps"))</f>
        <v>Maps</v>
      </c>
      <c r="F40" s="16" t="s">
        <v>276</v>
      </c>
      <c r="G40" s="16" t="s">
        <v>33</v>
      </c>
      <c r="H40" s="16" t="s">
        <v>33</v>
      </c>
      <c r="I40" s="24" t="str">
        <f>IF(OR(Raw!K124="",LOWER(Raw!K124)="not available"),"Not Available",HYPERLINK(Raw!K124,"Instagram"))</f>
        <v>Instagram</v>
      </c>
      <c r="J40" s="24" t="str">
        <f>IF(OR(Raw!L124="",LOWER(Raw!L124)="not available"),"Not Available",HYPERLINK(Raw!L124,"Facebook"))</f>
        <v>Facebook</v>
      </c>
      <c r="K40" s="10">
        <v>4.8</v>
      </c>
      <c r="L40" s="10">
        <v>340.0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0">
        <v>40.0</v>
      </c>
      <c r="B41" s="10" t="s">
        <v>279</v>
      </c>
      <c r="C41" s="11" t="s">
        <v>35</v>
      </c>
      <c r="D41" s="11" t="s">
        <v>280</v>
      </c>
      <c r="E41" s="15" t="str">
        <f>IF(OR(Raw!D66="",LOWER(Raw!D66)="not available"),"Not Available",HYPERLINK(Raw!D66,"Maps"))</f>
        <v>Maps</v>
      </c>
      <c r="F41" s="16" t="s">
        <v>282</v>
      </c>
      <c r="G41" s="16" t="s">
        <v>283</v>
      </c>
      <c r="H41" s="28" t="s">
        <v>284</v>
      </c>
      <c r="I41" s="24" t="str">
        <f>IF(OR(Raw!K66="",LOWER(Raw!K66)="not available"),"Not Available",HYPERLINK(Raw!K66,"Instagram"))</f>
        <v>Instagram</v>
      </c>
      <c r="J41" s="24" t="str">
        <f>IF(OR(Raw!L66="",LOWER(Raw!L66)="not available"),"Not Available",HYPERLINK(Raw!L66,"Facebook"))</f>
        <v>Facebook</v>
      </c>
      <c r="K41" s="10">
        <v>4.9</v>
      </c>
      <c r="L41" s="10">
        <v>209.0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0">
        <v>41.0</v>
      </c>
      <c r="B42" s="10" t="s">
        <v>289</v>
      </c>
      <c r="C42" s="11" t="s">
        <v>35</v>
      </c>
      <c r="D42" s="11" t="s">
        <v>290</v>
      </c>
      <c r="E42" s="15" t="str">
        <f>IF(OR(Raw!D74="",LOWER(Raw!D74)="not available"),"Not Available",HYPERLINK(Raw!D74,"Maps"))</f>
        <v>Maps</v>
      </c>
      <c r="F42" s="16" t="s">
        <v>291</v>
      </c>
      <c r="G42" s="16" t="s">
        <v>33</v>
      </c>
      <c r="H42" s="16" t="s">
        <v>33</v>
      </c>
      <c r="I42" s="8" t="str">
        <f>IF(OR(Raw!K74="",LOWER(Raw!K74)="not available"),"Not Available",HYPERLINK(Raw!K74,"Instagram"))</f>
        <v>Not Available</v>
      </c>
      <c r="J42" s="8" t="str">
        <f>IF(OR(Raw!L74="",LOWER(Raw!L74)="not available"),"Not Available",HYPERLINK(Raw!L74,"Facebook"))</f>
        <v>Not Available</v>
      </c>
      <c r="K42" s="10">
        <v>4.8</v>
      </c>
      <c r="L42" s="10">
        <v>11.0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0">
        <v>42.0</v>
      </c>
      <c r="B43" s="10" t="s">
        <v>295</v>
      </c>
      <c r="C43" s="11" t="s">
        <v>252</v>
      </c>
      <c r="D43" s="11" t="s">
        <v>296</v>
      </c>
      <c r="E43" s="15" t="str">
        <f>IF(OR(Raw!D39="",LOWER(Raw!D39)="not available"),"Not Available",HYPERLINK(Raw!D39,"Maps"))</f>
        <v>Maps</v>
      </c>
      <c r="F43" s="16" t="s">
        <v>299</v>
      </c>
      <c r="G43" s="16" t="s">
        <v>33</v>
      </c>
      <c r="H43" s="16" t="s">
        <v>33</v>
      </c>
      <c r="I43" s="8" t="str">
        <f>IF(OR(Raw!K39="",LOWER(Raw!K39)="not available"),"Not Available",HYPERLINK(Raw!K39,"Instagram"))</f>
        <v>Not Available</v>
      </c>
      <c r="J43" s="8" t="str">
        <f>IF(OR(Raw!L39="",LOWER(Raw!L39)="not available"),"Not Available",HYPERLINK(Raw!L39,"Facebook"))</f>
        <v>Not Available</v>
      </c>
      <c r="K43" s="10">
        <v>4.6</v>
      </c>
      <c r="L43" s="10">
        <v>134.0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0">
        <v>43.0</v>
      </c>
      <c r="B44" s="26" t="s">
        <v>277</v>
      </c>
      <c r="C44" s="11" t="s">
        <v>68</v>
      </c>
      <c r="D44" s="11" t="s">
        <v>272</v>
      </c>
      <c r="E44" s="15" t="str">
        <f>IF(OR(Raw!D26="",LOWER(Raw!D26)="not available"),"Not Available",HYPERLINK(Raw!D26,"Maps"))</f>
        <v>Maps</v>
      </c>
      <c r="F44" s="16" t="s">
        <v>303</v>
      </c>
      <c r="G44" s="16" t="s">
        <v>33</v>
      </c>
      <c r="H44" s="16" t="s">
        <v>33</v>
      </c>
      <c r="I44" s="24" t="str">
        <f>IF(OR(Raw!K26="",LOWER(Raw!K26)="not available"),"Not Available",HYPERLINK(Raw!K26,"Instagram"))</f>
        <v>Instagram</v>
      </c>
      <c r="J44" s="24" t="str">
        <f>IF(OR(Raw!L26="",LOWER(Raw!L26)="not available"),"Not Available",HYPERLINK(Raw!L26,"Facebook"))</f>
        <v>Facebook</v>
      </c>
      <c r="K44" s="10">
        <v>4.7</v>
      </c>
      <c r="L44" s="10">
        <v>435.0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10">
        <v>44.0</v>
      </c>
      <c r="B45" s="10" t="s">
        <v>307</v>
      </c>
      <c r="C45" s="11" t="s">
        <v>105</v>
      </c>
      <c r="D45" s="11" t="s">
        <v>308</v>
      </c>
      <c r="E45" s="15" t="str">
        <f>IF(OR(Raw!D123="",LOWER(Raw!D123)="not available"),"Not Available",HYPERLINK(Raw!D123,"Maps"))</f>
        <v>Maps</v>
      </c>
      <c r="F45" s="16" t="s">
        <v>309</v>
      </c>
      <c r="G45" s="16" t="s">
        <v>33</v>
      </c>
      <c r="H45" s="16" t="s">
        <v>33</v>
      </c>
      <c r="I45" s="24" t="str">
        <f>IF(OR(Raw!K123="",LOWER(Raw!K123)="not available"),"Not Available",HYPERLINK(Raw!K123,"Instagram"))</f>
        <v>Instagram</v>
      </c>
      <c r="J45" s="24" t="str">
        <f>IF(OR(Raw!L123="",LOWER(Raw!L123)="not available"),"Not Available",HYPERLINK(Raw!L123,"Facebook"))</f>
        <v>Facebook</v>
      </c>
      <c r="K45" s="10">
        <v>4.3</v>
      </c>
      <c r="L45" s="10">
        <v>122.0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0">
        <v>45.0</v>
      </c>
      <c r="B46" s="10" t="s">
        <v>312</v>
      </c>
      <c r="C46" s="11" t="s">
        <v>105</v>
      </c>
      <c r="D46" s="11" t="s">
        <v>313</v>
      </c>
      <c r="E46" s="15" t="str">
        <f>IF(OR(Raw!D127="",LOWER(Raw!D127)="not available"),"Not Available",HYPERLINK(Raw!D127,"Maps"))</f>
        <v>Maps</v>
      </c>
      <c r="F46" s="16" t="s">
        <v>122</v>
      </c>
      <c r="G46" s="16" t="s">
        <v>33</v>
      </c>
      <c r="H46" s="16" t="s">
        <v>33</v>
      </c>
      <c r="I46" s="24" t="str">
        <f>IF(OR(Raw!K127="",LOWER(Raw!K127)="not available"),"Not Available",HYPERLINK(Raw!K127,"Instagram"))</f>
        <v>Instagram</v>
      </c>
      <c r="J46" s="8" t="str">
        <f>IF(OR(Raw!L127="",LOWER(Raw!L127)="not available"),"Not Available",HYPERLINK(Raw!L127,"Facebook"))</f>
        <v>Not Available</v>
      </c>
      <c r="K46" s="10">
        <v>4.4</v>
      </c>
      <c r="L46" s="10">
        <v>65.0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0">
        <v>46.0</v>
      </c>
      <c r="B47" s="10" t="s">
        <v>316</v>
      </c>
      <c r="C47" s="11" t="s">
        <v>267</v>
      </c>
      <c r="D47" s="11" t="s">
        <v>317</v>
      </c>
      <c r="E47" s="15" t="str">
        <f>IF(OR(Raw!D144="",LOWER(Raw!D144)="not available"),"Not Available",HYPERLINK(Raw!D144,"Maps"))</f>
        <v>Maps</v>
      </c>
      <c r="F47" s="16" t="s">
        <v>122</v>
      </c>
      <c r="G47" s="16" t="s">
        <v>33</v>
      </c>
      <c r="H47" s="16" t="s">
        <v>33</v>
      </c>
      <c r="I47" s="8" t="str">
        <f>IF(OR(Raw!K144="",LOWER(Raw!K144)="not available"),"Not Available",HYPERLINK(Raw!K144,"Instagram"))</f>
        <v>Not Available</v>
      </c>
      <c r="J47" s="8" t="str">
        <f>IF(OR(Raw!L144="",LOWER(Raw!L144)="not available"),"Not Available",HYPERLINK(Raw!L144,"Facebook"))</f>
        <v>Not Available</v>
      </c>
      <c r="K47" s="10">
        <v>5.0</v>
      </c>
      <c r="L47" s="10">
        <v>53.0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0">
        <v>47.0</v>
      </c>
      <c r="B48" s="10" t="s">
        <v>321</v>
      </c>
      <c r="C48" s="11" t="s">
        <v>52</v>
      </c>
      <c r="D48" s="11" t="s">
        <v>322</v>
      </c>
      <c r="E48" s="15" t="str">
        <f>IF(OR(Raw!D137="",LOWER(Raw!D137)="not available"),"Not Available",HYPERLINK(Raw!D137,"Maps"))</f>
        <v>Maps</v>
      </c>
      <c r="F48" s="16" t="s">
        <v>325</v>
      </c>
      <c r="G48" s="16" t="s">
        <v>33</v>
      </c>
      <c r="H48" s="16" t="s">
        <v>33</v>
      </c>
      <c r="I48" s="24" t="str">
        <f>IF(OR(Raw!K137="",LOWER(Raw!K137)="not available"),"Not Available",HYPERLINK(Raw!K137,"Instagram"))</f>
        <v>Instagram</v>
      </c>
      <c r="J48" s="24" t="str">
        <f>IF(OR(Raw!L137="",LOWER(Raw!L137)="not available"),"Not Available",HYPERLINK(Raw!L137,"Facebook"))</f>
        <v>Facebook</v>
      </c>
      <c r="K48" s="10">
        <v>4.9</v>
      </c>
      <c r="L48" s="10">
        <v>55.0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0">
        <v>48.0</v>
      </c>
      <c r="B49" s="10" t="s">
        <v>328</v>
      </c>
      <c r="C49" s="11" t="s">
        <v>52</v>
      </c>
      <c r="D49" s="11" t="s">
        <v>329</v>
      </c>
      <c r="E49" s="15" t="str">
        <f>IF(OR(Raw!D140="",LOWER(Raw!D140)="not available"),"Not Available",HYPERLINK(Raw!D140,"Maps"))</f>
        <v>Maps</v>
      </c>
      <c r="F49" s="16" t="s">
        <v>331</v>
      </c>
      <c r="G49" s="16" t="s">
        <v>33</v>
      </c>
      <c r="H49" s="16" t="s">
        <v>33</v>
      </c>
      <c r="I49" s="24" t="str">
        <f>IF(OR(Raw!K140="",LOWER(Raw!K140)="not available"),"Not Available",HYPERLINK(Raw!K140,"Instagram"))</f>
        <v>Instagram</v>
      </c>
      <c r="J49" s="24" t="str">
        <f>IF(OR(Raw!L140="",LOWER(Raw!L140)="not available"),"Not Available",HYPERLINK(Raw!L140,"Facebook"))</f>
        <v>Facebook</v>
      </c>
      <c r="K49" s="10">
        <v>5.0</v>
      </c>
      <c r="L49" s="10">
        <v>15.0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0">
        <v>49.0</v>
      </c>
      <c r="B50" s="10" t="s">
        <v>334</v>
      </c>
      <c r="C50" s="11" t="s">
        <v>190</v>
      </c>
      <c r="D50" s="11" t="s">
        <v>335</v>
      </c>
      <c r="E50" s="15" t="str">
        <f>IF(OR(Raw!D156="",LOWER(Raw!D156)="not available"),"Not Available",HYPERLINK(Raw!D156,"Maps"))</f>
        <v>Maps</v>
      </c>
      <c r="F50" s="16" t="s">
        <v>339</v>
      </c>
      <c r="G50" s="16" t="s">
        <v>33</v>
      </c>
      <c r="H50" s="16" t="s">
        <v>33</v>
      </c>
      <c r="I50" s="8" t="str">
        <f>IF(OR(Raw!K156="",LOWER(Raw!K156)="not available"),"Not Available",HYPERLINK(Raw!K156,"Instagram"))</f>
        <v>Not Available</v>
      </c>
      <c r="J50" s="8" t="str">
        <f>IF(OR(Raw!L156="",LOWER(Raw!L156)="not available"),"Not Available",HYPERLINK(Raw!L156,"Facebook"))</f>
        <v>Not Available</v>
      </c>
      <c r="K50" s="10">
        <v>4.9</v>
      </c>
      <c r="L50" s="10">
        <v>28.0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0">
        <v>50.0</v>
      </c>
      <c r="B51" s="10" t="s">
        <v>336</v>
      </c>
      <c r="C51" s="11" t="s">
        <v>252</v>
      </c>
      <c r="D51" s="11" t="s">
        <v>332</v>
      </c>
      <c r="E51" s="15" t="str">
        <f>IF(OR(Raw!D33="",LOWER(Raw!D33)="not available"),"Not Available",HYPERLINK(Raw!D33,"Maps"))</f>
        <v>Maps</v>
      </c>
      <c r="F51" s="16" t="s">
        <v>345</v>
      </c>
      <c r="G51" s="16" t="s">
        <v>337</v>
      </c>
      <c r="H51" s="28" t="s">
        <v>346</v>
      </c>
      <c r="I51" s="8" t="str">
        <f>IF(OR(Raw!K33="",LOWER(Raw!K33)="not available"),"Not Available",HYPERLINK(Raw!K33,"Instagram"))</f>
        <v>Not Available</v>
      </c>
      <c r="J51" s="8" t="str">
        <f>IF(OR(Raw!L33="",LOWER(Raw!L33)="not available"),"Not Available",HYPERLINK(Raw!L33,"Facebook"))</f>
        <v>Not Available</v>
      </c>
      <c r="K51" s="10">
        <v>4.7</v>
      </c>
      <c r="L51" s="10">
        <v>392.0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0">
        <v>51.0</v>
      </c>
      <c r="B52" s="10" t="s">
        <v>351</v>
      </c>
      <c r="C52" s="11" t="s">
        <v>353</v>
      </c>
      <c r="D52" s="11" t="s">
        <v>354</v>
      </c>
      <c r="E52" s="15" t="str">
        <f>IF(OR(Raw!D52="",LOWER(Raw!D52)="not available"),"Not Available",HYPERLINK(Raw!D52,"Maps"))</f>
        <v>Maps</v>
      </c>
      <c r="F52" s="16" t="s">
        <v>355</v>
      </c>
      <c r="G52" s="16" t="s">
        <v>356</v>
      </c>
      <c r="H52" s="28" t="s">
        <v>357</v>
      </c>
      <c r="I52" s="24" t="str">
        <f>IF(OR(Raw!K52="",LOWER(Raw!K52)="not available"),"Not Available",HYPERLINK(Raw!K52,"Instagram"))</f>
        <v>Instagram</v>
      </c>
      <c r="J52" s="24" t="str">
        <f>IF(OR(Raw!L52="",LOWER(Raw!L52)="not available"),"Not Available",HYPERLINK(Raw!L52,"Facebook"))</f>
        <v>Facebook</v>
      </c>
      <c r="K52" s="10">
        <v>5.0</v>
      </c>
      <c r="L52" s="10">
        <v>1248.0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0">
        <v>52.0</v>
      </c>
      <c r="B53" s="10" t="s">
        <v>362</v>
      </c>
      <c r="C53" s="11" t="s">
        <v>59</v>
      </c>
      <c r="D53" s="11" t="s">
        <v>363</v>
      </c>
      <c r="E53" s="15" t="str">
        <f>IF(OR(Raw!D99="",LOWER(Raw!D99)="not available"),"Not Available",HYPERLINK(Raw!D99,"Maps"))</f>
        <v>Maps</v>
      </c>
      <c r="F53" s="16" t="s">
        <v>364</v>
      </c>
      <c r="G53" s="16" t="s">
        <v>33</v>
      </c>
      <c r="H53" s="16" t="s">
        <v>33</v>
      </c>
      <c r="I53" s="24" t="str">
        <f>IF(OR(Raw!K99="",LOWER(Raw!K99)="not available"),"Not Available",HYPERLINK(Raw!K99,"Instagram"))</f>
        <v>Instagram</v>
      </c>
      <c r="J53" s="24" t="str">
        <f>IF(OR(Raw!L99="",LOWER(Raw!L99)="not available"),"Not Available",HYPERLINK(Raw!L99,"Facebook"))</f>
        <v>Facebook</v>
      </c>
      <c r="K53" s="10">
        <v>4.6</v>
      </c>
      <c r="L53" s="10">
        <v>167.0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0">
        <v>53.0</v>
      </c>
      <c r="B54" s="10" t="s">
        <v>368</v>
      </c>
      <c r="C54" s="11" t="s">
        <v>43</v>
      </c>
      <c r="D54" s="11" t="s">
        <v>369</v>
      </c>
      <c r="E54" s="15" t="str">
        <f>IF(OR(Raw!D58="",LOWER(Raw!D58)="not available"),"Not Available",HYPERLINK(Raw!D58,"Maps"))</f>
        <v>Maps</v>
      </c>
      <c r="F54" s="16" t="s">
        <v>122</v>
      </c>
      <c r="G54" s="16" t="s">
        <v>33</v>
      </c>
      <c r="H54" s="16" t="s">
        <v>33</v>
      </c>
      <c r="I54" s="8" t="str">
        <f>IF(OR(Raw!K58="",LOWER(Raw!K58)="not available"),"Not Available",HYPERLINK(Raw!K58,"Instagram"))</f>
        <v>Not Available</v>
      </c>
      <c r="J54" s="8" t="str">
        <f>IF(OR(Raw!L58="",LOWER(Raw!L58)="not available"),"Not Available",HYPERLINK(Raw!L58,"Facebook"))</f>
        <v>Not Available</v>
      </c>
      <c r="K54" s="10">
        <v>4.9</v>
      </c>
      <c r="L54" s="10">
        <v>742.0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0">
        <v>54.0</v>
      </c>
      <c r="B55" s="10" t="s">
        <v>375</v>
      </c>
      <c r="C55" s="11" t="s">
        <v>151</v>
      </c>
      <c r="D55" s="11" t="s">
        <v>377</v>
      </c>
      <c r="E55" s="15" t="str">
        <f>IF(OR(Raw!D43="",LOWER(Raw!D43)="not available"),"Not Available",HYPERLINK(Raw!D43,"Maps"))</f>
        <v>Maps</v>
      </c>
      <c r="F55" s="16" t="s">
        <v>378</v>
      </c>
      <c r="G55" s="16" t="s">
        <v>33</v>
      </c>
      <c r="H55" s="16" t="s">
        <v>33</v>
      </c>
      <c r="I55" s="8" t="str">
        <f>IF(OR(Raw!K43="",LOWER(Raw!K43)="not available"),"Not Available",HYPERLINK(Raw!K43,"Instagram"))</f>
        <v>Not Available</v>
      </c>
      <c r="J55" s="8" t="str">
        <f>IF(OR(Raw!L43="",LOWER(Raw!L43)="not available"),"Not Available",HYPERLINK(Raw!L43,"Facebook"))</f>
        <v>Not Available</v>
      </c>
      <c r="K55" s="10">
        <v>4.6</v>
      </c>
      <c r="L55" s="10">
        <v>610.0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0">
        <v>55.0</v>
      </c>
      <c r="B56" s="10" t="s">
        <v>381</v>
      </c>
      <c r="C56" s="11" t="s">
        <v>82</v>
      </c>
      <c r="D56" s="11" t="s">
        <v>382</v>
      </c>
      <c r="E56" s="15" t="str">
        <f>IF(OR(Raw!D88="",LOWER(Raw!D88)="not available"),"Not Available",HYPERLINK(Raw!D88,"Maps"))</f>
        <v>Maps</v>
      </c>
      <c r="F56" s="16" t="s">
        <v>384</v>
      </c>
      <c r="G56" s="16" t="s">
        <v>33</v>
      </c>
      <c r="H56" s="16" t="s">
        <v>33</v>
      </c>
      <c r="I56" s="8" t="str">
        <f>IF(OR(Raw!K88="",LOWER(Raw!K88)="not available"),"Not Available",HYPERLINK(Raw!K88,"Instagram"))</f>
        <v>Not Available</v>
      </c>
      <c r="J56" s="8" t="str">
        <f>IF(OR(Raw!L88="",LOWER(Raw!L88)="not available"),"Not Available",HYPERLINK(Raw!L88,"Facebook"))</f>
        <v>Not Available</v>
      </c>
      <c r="K56" s="10">
        <v>4.9</v>
      </c>
      <c r="L56" s="10">
        <v>33.0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0">
        <v>56.0</v>
      </c>
      <c r="B57" s="10" t="s">
        <v>349</v>
      </c>
      <c r="C57" s="11" t="s">
        <v>252</v>
      </c>
      <c r="D57" s="11" t="s">
        <v>347</v>
      </c>
      <c r="E57" s="15" t="str">
        <f>IF(OR(Raw!D35="",LOWER(Raw!D35)="not available"),"Not Available",HYPERLINK(Raw!D35,"Maps"))</f>
        <v>Maps</v>
      </c>
      <c r="F57" s="16" t="s">
        <v>390</v>
      </c>
      <c r="G57" s="16" t="s">
        <v>33</v>
      </c>
      <c r="H57" s="16" t="s">
        <v>33</v>
      </c>
      <c r="I57" s="8" t="str">
        <f>IF(OR(Raw!K35="",LOWER(Raw!K35)="not available"),"Not Available",HYPERLINK(Raw!K35,"Instagram"))</f>
        <v>Not Available</v>
      </c>
      <c r="J57" s="8" t="str">
        <f>IF(OR(Raw!L35="",LOWER(Raw!L35)="not available"),"Not Available",HYPERLINK(Raw!L35,"Facebook"))</f>
        <v>Not Available</v>
      </c>
      <c r="K57" s="10">
        <v>4.8</v>
      </c>
      <c r="L57" s="10">
        <v>118.0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0">
        <v>57.0</v>
      </c>
      <c r="B58" s="10" t="s">
        <v>393</v>
      </c>
      <c r="C58" s="11" t="s">
        <v>136</v>
      </c>
      <c r="D58" s="11" t="s">
        <v>394</v>
      </c>
      <c r="E58" s="15" t="str">
        <f>IF(OR(Raw!D116="",LOWER(Raw!D116)="not available"),"Not Available",HYPERLINK(Raw!D116,"Maps"))</f>
        <v>Maps</v>
      </c>
      <c r="F58" s="16" t="s">
        <v>397</v>
      </c>
      <c r="G58" s="16" t="s">
        <v>33</v>
      </c>
      <c r="H58" s="16" t="s">
        <v>33</v>
      </c>
      <c r="I58" s="8" t="str">
        <f>IF(OR(Raw!K116="",LOWER(Raw!K116)="not available"),"Not Available",HYPERLINK(Raw!K116,"Instagram"))</f>
        <v>Not Available</v>
      </c>
      <c r="J58" s="8" t="str">
        <f>IF(OR(Raw!L116="",LOWER(Raw!L116)="not available"),"Not Available",HYPERLINK(Raw!L116,"Facebook"))</f>
        <v>Not Available</v>
      </c>
      <c r="K58" s="10">
        <v>4.3</v>
      </c>
      <c r="L58" s="10">
        <v>226.0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0">
        <v>58.0</v>
      </c>
      <c r="B59" s="10" t="s">
        <v>108</v>
      </c>
      <c r="C59" s="11" t="s">
        <v>28</v>
      </c>
      <c r="D59" s="11" t="s">
        <v>102</v>
      </c>
      <c r="E59" s="15" t="str">
        <f>IF(OR(Raw!D8="",LOWER(Raw!D8)="not available"),"Not Available",HYPERLINK(Raw!D8,"Maps"))</f>
        <v>Maps</v>
      </c>
      <c r="F59" s="16" t="s">
        <v>400</v>
      </c>
      <c r="G59" s="16" t="s">
        <v>33</v>
      </c>
      <c r="H59" s="16" t="s">
        <v>33</v>
      </c>
      <c r="I59" s="24" t="str">
        <f>IF(OR(Raw!K8="",LOWER(Raw!K8)="not available"),"Not Available",HYPERLINK(Raw!K8,"Instagram"))</f>
        <v>Instagram</v>
      </c>
      <c r="J59" s="24" t="str">
        <f>IF(OR(Raw!L8="",LOWER(Raw!L8)="not available"),"Not Available",HYPERLINK(Raw!L8,"Facebook"))</f>
        <v>Facebook</v>
      </c>
      <c r="K59" s="10">
        <v>4.6</v>
      </c>
      <c r="L59" s="10">
        <v>524.0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0">
        <v>59.0</v>
      </c>
      <c r="B60" s="10" t="s">
        <v>403</v>
      </c>
      <c r="C60" s="11" t="s">
        <v>43</v>
      </c>
      <c r="D60" s="11" t="s">
        <v>404</v>
      </c>
      <c r="E60" s="15" t="str">
        <f>IF(OR(Raw!D64="",LOWER(Raw!D64)="not available"),"Not Available",HYPERLINK(Raw!D64,"Maps"))</f>
        <v>Maps</v>
      </c>
      <c r="F60" s="16" t="s">
        <v>406</v>
      </c>
      <c r="G60" s="16" t="s">
        <v>33</v>
      </c>
      <c r="H60" s="16" t="s">
        <v>33</v>
      </c>
      <c r="I60" s="8" t="str">
        <f>IF(OR(Raw!K64="",LOWER(Raw!K64)="not available"),"Not Available",HYPERLINK(Raw!K64,"Instagram"))</f>
        <v>Not Available</v>
      </c>
      <c r="J60" s="8" t="str">
        <f>IF(OR(Raw!L64="",LOWER(Raw!L64)="not available"),"Not Available",HYPERLINK(Raw!L64,"Facebook"))</f>
        <v>Not Available</v>
      </c>
      <c r="K60" s="10">
        <v>4.9</v>
      </c>
      <c r="L60" s="10">
        <v>43.0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0">
        <v>60.0</v>
      </c>
      <c r="B61" s="10" t="s">
        <v>410</v>
      </c>
      <c r="C61" s="11" t="s">
        <v>411</v>
      </c>
      <c r="D61" s="11" t="s">
        <v>412</v>
      </c>
      <c r="E61" s="15" t="str">
        <f>IF(OR(Raw!D77="",LOWER(Raw!D77)="not available"),"Not Available",HYPERLINK(Raw!D77,"Maps"))</f>
        <v>Maps</v>
      </c>
      <c r="F61" s="16" t="s">
        <v>414</v>
      </c>
      <c r="G61" s="16" t="s">
        <v>33</v>
      </c>
      <c r="H61" s="16" t="s">
        <v>33</v>
      </c>
      <c r="I61" s="8" t="str">
        <f>IF(OR(Raw!K77="",LOWER(Raw!K77)="not available"),"Not Available",HYPERLINK(Raw!K77,"Instagram"))</f>
        <v>Not Available</v>
      </c>
      <c r="J61" s="8" t="str">
        <f>IF(OR(Raw!L77="",LOWER(Raw!L77)="not available"),"Not Available",HYPERLINK(Raw!L77,"Facebook"))</f>
        <v>Not Available</v>
      </c>
      <c r="K61" s="10">
        <v>5.0</v>
      </c>
      <c r="L61" s="10">
        <v>29.0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0">
        <v>61.0</v>
      </c>
      <c r="B62" s="10" t="s">
        <v>379</v>
      </c>
      <c r="C62" s="11" t="s">
        <v>373</v>
      </c>
      <c r="D62" s="11" t="s">
        <v>374</v>
      </c>
      <c r="E62" s="15" t="str">
        <f>IF(OR(Raw!D41="",LOWER(Raw!D41)="not available"),"Not Available",HYPERLINK(Raw!D41,"Maps"))</f>
        <v>Maps</v>
      </c>
      <c r="F62" s="16" t="s">
        <v>419</v>
      </c>
      <c r="G62" s="16" t="s">
        <v>33</v>
      </c>
      <c r="H62" s="16" t="s">
        <v>33</v>
      </c>
      <c r="I62" s="8" t="str">
        <f>IF(OR(Raw!K41="",LOWER(Raw!K41)="not available"),"Not Available",HYPERLINK(Raw!K41,"Instagram"))</f>
        <v>Not Available</v>
      </c>
      <c r="J62" s="8" t="str">
        <f>IF(OR(Raw!L41="",LOWER(Raw!L41)="not available"),"Not Available",HYPERLINK(Raw!L41,"Facebook"))</f>
        <v>Not Available</v>
      </c>
      <c r="K62" s="10">
        <v>5.0</v>
      </c>
      <c r="L62" s="10">
        <v>85.0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0">
        <v>62.0</v>
      </c>
      <c r="B63" s="10" t="s">
        <v>422</v>
      </c>
      <c r="C63" s="11" t="s">
        <v>136</v>
      </c>
      <c r="D63" s="11" t="s">
        <v>424</v>
      </c>
      <c r="E63" s="15" t="str">
        <f>IF(OR(Raw!D118="",LOWER(Raw!D118)="not available"),"Not Available",HYPERLINK(Raw!D118,"Maps"))</f>
        <v>Maps</v>
      </c>
      <c r="F63" s="16" t="s">
        <v>427</v>
      </c>
      <c r="G63" s="16" t="s">
        <v>33</v>
      </c>
      <c r="H63" s="16" t="s">
        <v>33</v>
      </c>
      <c r="I63" s="8" t="str">
        <f>IF(OR(Raw!K118="",LOWER(Raw!K118)="not available"),"Not Available",HYPERLINK(Raw!K118,"Instagram"))</f>
        <v>Not Available</v>
      </c>
      <c r="J63" s="8" t="str">
        <f>IF(OR(Raw!L118="",LOWER(Raw!L118)="not available"),"Not Available",HYPERLINK(Raw!L118,"Facebook"))</f>
        <v>Not Available</v>
      </c>
      <c r="K63" s="10">
        <v>4.8</v>
      </c>
      <c r="L63" s="10">
        <v>66.0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10">
        <v>63.0</v>
      </c>
      <c r="B64" s="10" t="s">
        <v>430</v>
      </c>
      <c r="C64" s="11" t="s">
        <v>267</v>
      </c>
      <c r="D64" s="11" t="s">
        <v>431</v>
      </c>
      <c r="E64" s="15" t="str">
        <f>IF(OR(Raw!D145="",LOWER(Raw!D145)="not available"),"Not Available",HYPERLINK(Raw!D145,"Maps"))</f>
        <v>Maps</v>
      </c>
      <c r="F64" s="16" t="s">
        <v>122</v>
      </c>
      <c r="G64" s="16" t="s">
        <v>33</v>
      </c>
      <c r="H64" s="16" t="s">
        <v>33</v>
      </c>
      <c r="I64" s="24" t="str">
        <f>IF(OR(Raw!K145="",LOWER(Raw!K145)="not available"),"Not Available",HYPERLINK(Raw!K145,"Instagram"))</f>
        <v>Instagram</v>
      </c>
      <c r="J64" s="24" t="str">
        <f>IF(OR(Raw!L145="",LOWER(Raw!L145)="not available"),"Not Available",HYPERLINK(Raw!L145,"Facebook"))</f>
        <v>Facebook</v>
      </c>
      <c r="K64" s="10">
        <v>4.7</v>
      </c>
      <c r="L64" s="10">
        <v>75.0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0">
        <v>64.0</v>
      </c>
      <c r="B65" s="10" t="s">
        <v>417</v>
      </c>
      <c r="C65" s="11" t="s">
        <v>151</v>
      </c>
      <c r="D65" s="11" t="s">
        <v>415</v>
      </c>
      <c r="E65" s="15" t="str">
        <f>IF(OR(Raw!D48="",LOWER(Raw!D48)="not available"),"Not Available",HYPERLINK(Raw!D48,"Maps"))</f>
        <v>Maps</v>
      </c>
      <c r="F65" s="16" t="s">
        <v>437</v>
      </c>
      <c r="G65" s="16" t="s">
        <v>33</v>
      </c>
      <c r="H65" s="16" t="s">
        <v>33</v>
      </c>
      <c r="I65" s="24" t="str">
        <f>IF(OR(Raw!K48="",LOWER(Raw!K48)="not available"),"Not Available",HYPERLINK(Raw!K48,"Instagram"))</f>
        <v>Instagram</v>
      </c>
      <c r="J65" s="8" t="str">
        <f>IF(OR(Raw!L48="",LOWER(Raw!L48)="not available"),"Not Available",HYPERLINK(Raw!L48,"Facebook"))</f>
        <v>Not Available</v>
      </c>
      <c r="K65" s="10">
        <v>4.8</v>
      </c>
      <c r="L65" s="10">
        <v>95.0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10">
        <v>65.0</v>
      </c>
      <c r="B66" s="10" t="s">
        <v>439</v>
      </c>
      <c r="C66" s="11" t="s">
        <v>35</v>
      </c>
      <c r="D66" s="11" t="s">
        <v>441</v>
      </c>
      <c r="E66" s="15" t="str">
        <f>IF(OR(Raw!D69="",LOWER(Raw!D69)="not available"),"Not Available",HYPERLINK(Raw!D69,"Maps"))</f>
        <v>Maps</v>
      </c>
      <c r="F66" s="16" t="s">
        <v>442</v>
      </c>
      <c r="G66" s="16" t="s">
        <v>33</v>
      </c>
      <c r="H66" s="16" t="s">
        <v>33</v>
      </c>
      <c r="I66" s="8" t="str">
        <f>IF(OR(Raw!K69="",LOWER(Raw!K69)="not available"),"Not Available",HYPERLINK(Raw!K69,"Instagram"))</f>
        <v>Not Available</v>
      </c>
      <c r="J66" s="8" t="str">
        <f>IF(OR(Raw!L69="",LOWER(Raw!L69)="not available"),"Not Available",HYPERLINK(Raw!L69,"Facebook"))</f>
        <v>Not Available</v>
      </c>
      <c r="K66" s="10">
        <v>4.5</v>
      </c>
      <c r="L66" s="10">
        <v>95.0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0">
        <v>66.0</v>
      </c>
      <c r="B67" s="10" t="s">
        <v>445</v>
      </c>
      <c r="C67" s="11" t="s">
        <v>35</v>
      </c>
      <c r="D67" s="11" t="s">
        <v>446</v>
      </c>
      <c r="E67" s="15" t="str">
        <f>IF(OR(Raw!D67="",LOWER(Raw!D67)="not available"),"Not Available",HYPERLINK(Raw!D67,"Maps"))</f>
        <v>Maps</v>
      </c>
      <c r="F67" s="16" t="s">
        <v>448</v>
      </c>
      <c r="G67" s="16" t="s">
        <v>33</v>
      </c>
      <c r="H67" s="28" t="s">
        <v>38</v>
      </c>
      <c r="I67" s="24" t="str">
        <f>IF(OR(Raw!K67="",LOWER(Raw!K67)="not available"),"Not Available",HYPERLINK(Raw!K67,"Instagram"))</f>
        <v>Instagram</v>
      </c>
      <c r="J67" s="24" t="str">
        <f>IF(OR(Raw!L67="",LOWER(Raw!L67)="not available"),"Not Available",HYPERLINK(Raw!L67,"Facebook"))</f>
        <v>Facebook</v>
      </c>
      <c r="K67" s="10">
        <v>4.8</v>
      </c>
      <c r="L67" s="10">
        <v>357.0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10">
        <v>67.0</v>
      </c>
      <c r="B68" s="10" t="s">
        <v>453</v>
      </c>
      <c r="C68" s="11" t="s">
        <v>52</v>
      </c>
      <c r="D68" s="11" t="s">
        <v>454</v>
      </c>
      <c r="E68" s="15" t="str">
        <f>IF(OR(Raw!D132="",LOWER(Raw!D132)="not available"),"Not Available",HYPERLINK(Raw!D132,"Maps"))</f>
        <v>Maps</v>
      </c>
      <c r="F68" s="16" t="s">
        <v>455</v>
      </c>
      <c r="G68" s="16" t="s">
        <v>33</v>
      </c>
      <c r="H68" s="28" t="s">
        <v>38</v>
      </c>
      <c r="I68" s="24" t="str">
        <f>IF(OR(Raw!K132="",LOWER(Raw!K132)="not available"),"Not Available",HYPERLINK(Raw!K132,"Instagram"))</f>
        <v>Instagram</v>
      </c>
      <c r="J68" s="24" t="str">
        <f>IF(OR(Raw!L132="",LOWER(Raw!L132)="not available"),"Not Available",HYPERLINK(Raw!L132,"Facebook"))</f>
        <v>Facebook</v>
      </c>
      <c r="K68" s="10">
        <v>4.5</v>
      </c>
      <c r="L68" s="10">
        <v>527.0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10">
        <v>68.0</v>
      </c>
      <c r="B69" s="10" t="s">
        <v>37</v>
      </c>
      <c r="C69" s="11" t="s">
        <v>28</v>
      </c>
      <c r="D69" s="11" t="s">
        <v>29</v>
      </c>
      <c r="E69" s="15" t="str">
        <f>IF(OR(Raw!D2="",LOWER(Raw!D2)="not available"),"Not Available",HYPERLINK(Raw!D2,"Maps"))</f>
        <v>Maps</v>
      </c>
      <c r="F69" s="16" t="s">
        <v>460</v>
      </c>
      <c r="G69" s="16" t="s">
        <v>33</v>
      </c>
      <c r="H69" s="28" t="s">
        <v>38</v>
      </c>
      <c r="I69" s="24" t="str">
        <f>IF(OR(Raw!K2="",LOWER(Raw!K2)="not available"),"Not Available",HYPERLINK(Raw!K2,"Instagram"))</f>
        <v>Instagram</v>
      </c>
      <c r="J69" s="24" t="str">
        <f>IF(OR(Raw!L2="",LOWER(Raw!L2)="not available"),"Not Available",HYPERLINK(Raw!L2,"Facebook"))</f>
        <v>Facebook</v>
      </c>
      <c r="K69" s="10">
        <v>4.8</v>
      </c>
      <c r="L69" s="10">
        <v>324.0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10">
        <v>69.0</v>
      </c>
      <c r="B70" s="10" t="s">
        <v>462</v>
      </c>
      <c r="C70" s="11" t="s">
        <v>463</v>
      </c>
      <c r="D70" s="11" t="s">
        <v>464</v>
      </c>
      <c r="E70" s="15" t="str">
        <f>IF(OR(Raw!D149="",LOWER(Raw!D149)="not available"),"Not Available",HYPERLINK(Raw!D149,"Maps"))</f>
        <v>Maps</v>
      </c>
      <c r="F70" s="16" t="s">
        <v>465</v>
      </c>
      <c r="G70" s="16" t="s">
        <v>33</v>
      </c>
      <c r="H70" s="16" t="s">
        <v>33</v>
      </c>
      <c r="I70" s="8" t="str">
        <f>IF(OR(Raw!K149="",LOWER(Raw!K149)="not available"),"Not Available",HYPERLINK(Raw!K149,"Instagram"))</f>
        <v>Not Available</v>
      </c>
      <c r="J70" s="8" t="str">
        <f>IF(OR(Raw!L149="",LOWER(Raw!L149)="not available"),"Not Available",HYPERLINK(Raw!L149,"Facebook"))</f>
        <v>Not Available</v>
      </c>
      <c r="K70" s="10">
        <v>4.8</v>
      </c>
      <c r="L70" s="10">
        <v>24.0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0">
        <v>70.0</v>
      </c>
      <c r="B71" s="10" t="s">
        <v>467</v>
      </c>
      <c r="C71" s="11" t="s">
        <v>52</v>
      </c>
      <c r="D71" s="11" t="s">
        <v>468</v>
      </c>
      <c r="E71" s="15" t="str">
        <f>IF(OR(Raw!D139="",LOWER(Raw!D139)="not available"),"Not Available",HYPERLINK(Raw!D139,"Maps"))</f>
        <v>Maps</v>
      </c>
      <c r="F71" s="16" t="s">
        <v>469</v>
      </c>
      <c r="G71" s="16" t="s">
        <v>33</v>
      </c>
      <c r="H71" s="16" t="s">
        <v>33</v>
      </c>
      <c r="I71" s="24" t="str">
        <f>IF(OR(Raw!K139="",LOWER(Raw!K139)="not available"),"Not Available",HYPERLINK(Raw!K139,"Instagram"))</f>
        <v>Instagram</v>
      </c>
      <c r="J71" s="8" t="str">
        <f>IF(OR(Raw!L139="",LOWER(Raw!L139)="not available"),"Not Available",HYPERLINK(Raw!L139,"Facebook"))</f>
        <v>Not Available</v>
      </c>
      <c r="K71" s="10">
        <v>4.2</v>
      </c>
      <c r="L71" s="10">
        <v>59.0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0">
        <v>71.0</v>
      </c>
      <c r="B72" s="10" t="s">
        <v>471</v>
      </c>
      <c r="C72" s="11" t="s">
        <v>59</v>
      </c>
      <c r="D72" s="11" t="s">
        <v>473</v>
      </c>
      <c r="E72" s="15" t="str">
        <f>IF(OR(Raw!D104="",LOWER(Raw!D104)="not available"),"Not Available",HYPERLINK(Raw!D104,"Maps"))</f>
        <v>Maps</v>
      </c>
      <c r="F72" s="16" t="s">
        <v>474</v>
      </c>
      <c r="G72" s="16" t="s">
        <v>33</v>
      </c>
      <c r="H72" s="16" t="s">
        <v>33</v>
      </c>
      <c r="I72" s="8" t="str">
        <f>IF(OR(Raw!K104="",LOWER(Raw!K104)="not available"),"Not Available",HYPERLINK(Raw!K104,"Instagram"))</f>
        <v>Not Available</v>
      </c>
      <c r="J72" s="8" t="str">
        <f>IF(OR(Raw!L104="",LOWER(Raw!L104)="not available"),"Not Available",HYPERLINK(Raw!L104,"Facebook"))</f>
        <v>Not Available</v>
      </c>
      <c r="K72" s="10">
        <v>5.0</v>
      </c>
      <c r="L72" s="10">
        <v>128.0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0">
        <v>72.0</v>
      </c>
      <c r="B73" s="10" t="s">
        <v>477</v>
      </c>
      <c r="C73" s="11" t="s">
        <v>267</v>
      </c>
      <c r="D73" s="11" t="s">
        <v>479</v>
      </c>
      <c r="E73" s="15" t="str">
        <f>IF(OR(Raw!D147="",LOWER(Raw!D147)="not available"),"Not Available",HYPERLINK(Raw!D147,"Maps"))</f>
        <v>Maps</v>
      </c>
      <c r="F73" s="16" t="s">
        <v>481</v>
      </c>
      <c r="G73" s="16" t="s">
        <v>33</v>
      </c>
      <c r="H73" s="16" t="s">
        <v>33</v>
      </c>
      <c r="I73" s="24" t="str">
        <f>IF(OR(Raw!K147="",LOWER(Raw!K147)="not available"),"Not Available",HYPERLINK(Raw!K147,"Instagram"))</f>
        <v>Instagram</v>
      </c>
      <c r="J73" s="24" t="str">
        <f>IF(OR(Raw!L147="",LOWER(Raw!L147)="not available"),"Not Available",HYPERLINK(Raw!L147,"Facebook"))</f>
        <v>Facebook</v>
      </c>
      <c r="K73" s="10">
        <v>5.0</v>
      </c>
      <c r="L73" s="10">
        <v>53.0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10">
        <v>73.0</v>
      </c>
      <c r="B74" s="10" t="s">
        <v>485</v>
      </c>
      <c r="C74" s="11" t="s">
        <v>105</v>
      </c>
      <c r="D74" s="11" t="s">
        <v>486</v>
      </c>
      <c r="E74" s="15" t="str">
        <f>IF(OR(Raw!D128="",LOWER(Raw!D128)="not available"),"Not Available",HYPERLINK(Raw!D128,"Maps"))</f>
        <v>Maps</v>
      </c>
      <c r="F74" s="16" t="s">
        <v>487</v>
      </c>
      <c r="G74" s="16" t="s">
        <v>33</v>
      </c>
      <c r="H74" s="16" t="s">
        <v>33</v>
      </c>
      <c r="I74" s="24" t="str">
        <f>IF(OR(Raw!K128="",LOWER(Raw!K128)="not available"),"Not Available",HYPERLINK(Raw!K128,"Instagram"))</f>
        <v>Instagram</v>
      </c>
      <c r="J74" s="24" t="str">
        <f>IF(OR(Raw!L128="",LOWER(Raw!L128)="not available"),"Not Available",HYPERLINK(Raw!L128,"Facebook"))</f>
        <v>Facebook</v>
      </c>
      <c r="K74" s="10">
        <v>4.8</v>
      </c>
      <c r="L74" s="10">
        <v>696.0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10">
        <v>74.0</v>
      </c>
      <c r="B75" s="10" t="s">
        <v>490</v>
      </c>
      <c r="C75" s="11" t="s">
        <v>35</v>
      </c>
      <c r="D75" s="11" t="s">
        <v>491</v>
      </c>
      <c r="E75" s="15" t="str">
        <f>IF(OR(Raw!D75="",LOWER(Raw!D75)="not available"),"Not Available",HYPERLINK(Raw!D75,"Maps"))</f>
        <v>Maps</v>
      </c>
      <c r="F75" s="16" t="s">
        <v>493</v>
      </c>
      <c r="G75" s="16" t="s">
        <v>33</v>
      </c>
      <c r="H75" s="16" t="s">
        <v>33</v>
      </c>
      <c r="I75" s="8" t="str">
        <f>IF(OR(Raw!K75="",LOWER(Raw!K75)="not available"),"Not Available",HYPERLINK(Raw!K75,"Instagram"))</f>
        <v>Not Available</v>
      </c>
      <c r="J75" s="8" t="str">
        <f>IF(OR(Raw!L75="",LOWER(Raw!L75)="not available"),"Not Available",HYPERLINK(Raw!L75,"Facebook"))</f>
        <v>Not Available</v>
      </c>
      <c r="K75" s="10">
        <v>5.0</v>
      </c>
      <c r="L75" s="10">
        <v>59.0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0">
        <v>75.0</v>
      </c>
      <c r="B76" s="10" t="s">
        <v>497</v>
      </c>
      <c r="C76" s="11" t="s">
        <v>117</v>
      </c>
      <c r="D76" s="11" t="s">
        <v>498</v>
      </c>
      <c r="E76" s="15" t="str">
        <f>IF(OR(Raw!D111="",LOWER(Raw!D111)="not available"),"Not Available",HYPERLINK(Raw!D111,"Maps"))</f>
        <v>Maps</v>
      </c>
      <c r="F76" s="16" t="s">
        <v>499</v>
      </c>
      <c r="G76" s="16" t="s">
        <v>33</v>
      </c>
      <c r="H76" s="16" t="s">
        <v>33</v>
      </c>
      <c r="I76" s="8" t="str">
        <f>IF(OR(Raw!K111="",LOWER(Raw!K111)="not available"),"Not Available",HYPERLINK(Raw!K111,"Instagram"))</f>
        <v>Not Available</v>
      </c>
      <c r="J76" s="8" t="str">
        <f>IF(OR(Raw!L111="",LOWER(Raw!L111)="not available"),"Not Available",HYPERLINK(Raw!L111,"Facebook"))</f>
        <v>Not Available</v>
      </c>
      <c r="K76" s="10">
        <v>4.5</v>
      </c>
      <c r="L76" s="10">
        <v>101.0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0">
        <v>76.0</v>
      </c>
      <c r="B77" s="10" t="s">
        <v>503</v>
      </c>
      <c r="C77" s="11" t="s">
        <v>82</v>
      </c>
      <c r="D77" s="11" t="s">
        <v>504</v>
      </c>
      <c r="E77" s="15" t="str">
        <f>IF(OR(Raw!D85="",LOWER(Raw!D85)="not available"),"Not Available",HYPERLINK(Raw!D85,"Maps"))</f>
        <v>Maps</v>
      </c>
      <c r="F77" s="16" t="s">
        <v>505</v>
      </c>
      <c r="G77" s="16" t="s">
        <v>33</v>
      </c>
      <c r="H77" s="16" t="s">
        <v>33</v>
      </c>
      <c r="I77" s="24" t="str">
        <f>IF(OR(Raw!K85="",LOWER(Raw!K85)="not available"),"Not Available",HYPERLINK(Raw!K85,"Instagram"))</f>
        <v>Instagram</v>
      </c>
      <c r="J77" s="8" t="str">
        <f>IF(OR(Raw!L85="",LOWER(Raw!L85)="not available"),"Not Available",HYPERLINK(Raw!L85,"Facebook"))</f>
        <v>Not Available</v>
      </c>
      <c r="K77" s="10">
        <v>4.9</v>
      </c>
      <c r="L77" s="10">
        <v>19.0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0">
        <v>77.0</v>
      </c>
      <c r="B78" s="10" t="s">
        <v>478</v>
      </c>
      <c r="C78" s="11" t="s">
        <v>43</v>
      </c>
      <c r="D78" s="11" t="s">
        <v>475</v>
      </c>
      <c r="E78" s="15" t="str">
        <f>IF(OR(Raw!D61="",LOWER(Raw!D61)="not available"),"Not Available",HYPERLINK(Raw!D61,"Maps"))</f>
        <v>Maps</v>
      </c>
      <c r="F78" s="16" t="s">
        <v>511</v>
      </c>
      <c r="G78" s="16" t="s">
        <v>33</v>
      </c>
      <c r="H78" s="16" t="s">
        <v>33</v>
      </c>
      <c r="I78" s="8" t="str">
        <f>IF(OR(Raw!K61="",LOWER(Raw!K61)="not available"),"Not Available",HYPERLINK(Raw!K61,"Instagram"))</f>
        <v>Not Available</v>
      </c>
      <c r="J78" s="8" t="str">
        <f>IF(OR(Raw!L61="",LOWER(Raw!L61)="not available"),"Not Available",HYPERLINK(Raw!L61,"Facebook"))</f>
        <v>Not Available</v>
      </c>
      <c r="K78" s="10">
        <v>4.7</v>
      </c>
      <c r="L78" s="10">
        <v>130.0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0">
        <v>78.0</v>
      </c>
      <c r="B79" s="10" t="s">
        <v>342</v>
      </c>
      <c r="C79" s="11" t="s">
        <v>252</v>
      </c>
      <c r="D79" s="11" t="s">
        <v>340</v>
      </c>
      <c r="E79" s="15" t="str">
        <f>IF(OR(Raw!D34="",LOWER(Raw!D34)="not available"),"Not Available",HYPERLINK(Raw!D34,"Maps"))</f>
        <v>Maps</v>
      </c>
      <c r="F79" s="16" t="s">
        <v>122</v>
      </c>
      <c r="G79" s="16" t="s">
        <v>33</v>
      </c>
      <c r="H79" s="16" t="s">
        <v>33</v>
      </c>
      <c r="I79" s="24" t="str">
        <f>IF(OR(Raw!K34="",LOWER(Raw!K34)="not available"),"Not Available",HYPERLINK(Raw!K34,"Instagram"))</f>
        <v>Instagram</v>
      </c>
      <c r="J79" s="24" t="str">
        <f>IF(OR(Raw!L34="",LOWER(Raw!L34)="not available"),"Not Available",HYPERLINK(Raw!L34,"Facebook"))</f>
        <v>Facebook</v>
      </c>
      <c r="K79" s="10">
        <v>4.8</v>
      </c>
      <c r="L79" s="10">
        <v>100.0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10">
        <v>79.0</v>
      </c>
      <c r="B80" s="10" t="s">
        <v>365</v>
      </c>
      <c r="C80" s="11" t="s">
        <v>252</v>
      </c>
      <c r="D80" s="11" t="s">
        <v>360</v>
      </c>
      <c r="E80" s="15" t="str">
        <f>IF(OR(Raw!D38="",LOWER(Raw!D38)="not available"),"Not Available",HYPERLINK(Raw!D38,"Maps"))</f>
        <v>Maps</v>
      </c>
      <c r="F80" s="16" t="s">
        <v>518</v>
      </c>
      <c r="G80" s="16" t="s">
        <v>33</v>
      </c>
      <c r="H80" s="16" t="s">
        <v>33</v>
      </c>
      <c r="I80" s="24" t="str">
        <f>IF(OR(Raw!K38="",LOWER(Raw!K38)="not available"),"Not Available",HYPERLINK(Raw!K38,"Instagram"))</f>
        <v>Instagram</v>
      </c>
      <c r="J80" s="24" t="str">
        <f>IF(OR(Raw!L38="",LOWER(Raw!L38)="not available"),"Not Available",HYPERLINK(Raw!L38,"Facebook"))</f>
        <v>Facebook</v>
      </c>
      <c r="K80" s="10">
        <v>4.3</v>
      </c>
      <c r="L80" s="10">
        <v>46.0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0">
        <v>80.0</v>
      </c>
      <c r="B81" s="10" t="s">
        <v>523</v>
      </c>
      <c r="C81" s="11" t="s">
        <v>411</v>
      </c>
      <c r="D81" s="11" t="s">
        <v>524</v>
      </c>
      <c r="E81" s="15" t="str">
        <f>IF(OR(Raw!D78="",LOWER(Raw!D78)="not available"),"Not Available",HYPERLINK(Raw!D78,"Maps"))</f>
        <v>Maps</v>
      </c>
      <c r="F81" s="16" t="s">
        <v>518</v>
      </c>
      <c r="G81" s="16" t="s">
        <v>33</v>
      </c>
      <c r="H81" s="16" t="s">
        <v>33</v>
      </c>
      <c r="I81" s="24" t="str">
        <f>IF(OR(Raw!K78="",LOWER(Raw!K78)="not available"),"Not Available",HYPERLINK(Raw!K78,"Instagram"))</f>
        <v>Instagram</v>
      </c>
      <c r="J81" s="24" t="str">
        <f>IF(OR(Raw!L78="",LOWER(Raw!L78)="not available"),"Not Available",HYPERLINK(Raw!L78,"Facebook"))</f>
        <v>Facebook</v>
      </c>
      <c r="K81" s="10">
        <v>4.6</v>
      </c>
      <c r="L81" s="10">
        <v>145.0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0">
        <v>81.0</v>
      </c>
      <c r="B82" s="10" t="s">
        <v>528</v>
      </c>
      <c r="C82" s="11" t="s">
        <v>82</v>
      </c>
      <c r="D82" s="11" t="s">
        <v>529</v>
      </c>
      <c r="E82" s="15" t="str">
        <f>IF(OR(Raw!D86="",LOWER(Raw!D86)="not available"),"Not Available",HYPERLINK(Raw!D86,"Maps"))</f>
        <v>Maps</v>
      </c>
      <c r="F82" s="16" t="s">
        <v>531</v>
      </c>
      <c r="G82" s="16" t="s">
        <v>120</v>
      </c>
      <c r="H82" s="28" t="s">
        <v>532</v>
      </c>
      <c r="I82" s="24" t="str">
        <f>IF(OR(Raw!K86="",LOWER(Raw!K86)="not available"),"Not Available",HYPERLINK(Raw!K86,"Instagram"))</f>
        <v>Instagram</v>
      </c>
      <c r="J82" s="24" t="str">
        <f>IF(OR(Raw!L86="",LOWER(Raw!L86)="not available"),"Not Available",HYPERLINK(Raw!L86,"Facebook"))</f>
        <v>Facebook</v>
      </c>
      <c r="K82" s="10">
        <v>4.8</v>
      </c>
      <c r="L82" s="10">
        <v>240.0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0">
        <v>82.0</v>
      </c>
      <c r="B83" s="10" t="s">
        <v>118</v>
      </c>
      <c r="C83" s="11" t="s">
        <v>28</v>
      </c>
      <c r="D83" s="11" t="s">
        <v>114</v>
      </c>
      <c r="E83" s="15" t="str">
        <f>IF(OR(Raw!D9="",LOWER(Raw!D9)="not available"),"Not Available",HYPERLINK(Raw!D9,"Maps"))</f>
        <v>Maps</v>
      </c>
      <c r="F83" s="16" t="s">
        <v>536</v>
      </c>
      <c r="G83" s="16" t="s">
        <v>120</v>
      </c>
      <c r="H83" s="16" t="s">
        <v>33</v>
      </c>
      <c r="I83" s="24" t="str">
        <f>IF(OR(Raw!K9="",LOWER(Raw!K9)="not available"),"Not Available",HYPERLINK(Raw!K9,"Instagram"))</f>
        <v>Instagram</v>
      </c>
      <c r="J83" s="24" t="str">
        <f>IF(OR(Raw!L9="",LOWER(Raw!L9)="not available"),"Not Available",HYPERLINK(Raw!L9,"Facebook"))</f>
        <v>Facebook</v>
      </c>
      <c r="K83" s="10">
        <v>4.8</v>
      </c>
      <c r="L83" s="10">
        <v>383.0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0">
        <v>83.0</v>
      </c>
      <c r="B84" s="10" t="s">
        <v>538</v>
      </c>
      <c r="C84" s="11" t="s">
        <v>117</v>
      </c>
      <c r="D84" s="11" t="s">
        <v>539</v>
      </c>
      <c r="E84" s="15" t="str">
        <f>IF(OR(Raw!D100="",LOWER(Raw!D100)="not available"),"Not Available",HYPERLINK(Raw!D100,"Maps"))</f>
        <v>Maps</v>
      </c>
      <c r="F84" s="16" t="s">
        <v>542</v>
      </c>
      <c r="G84" s="16" t="s">
        <v>33</v>
      </c>
      <c r="H84" s="16" t="s">
        <v>33</v>
      </c>
      <c r="I84" s="24" t="str">
        <f>IF(OR(Raw!K100="",LOWER(Raw!K100)="not available"),"Not Available",HYPERLINK(Raw!K100,"Instagram"))</f>
        <v>Instagram</v>
      </c>
      <c r="J84" s="24" t="str">
        <f>IF(OR(Raw!L100="",LOWER(Raw!L100)="not available"),"Not Available",HYPERLINK(Raw!L100,"Facebook"))</f>
        <v>Facebook</v>
      </c>
      <c r="K84" s="10">
        <v>4.8</v>
      </c>
      <c r="L84" s="10">
        <v>945.0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0">
        <v>84.0</v>
      </c>
      <c r="B85" s="26" t="s">
        <v>174</v>
      </c>
      <c r="C85" s="11" t="s">
        <v>75</v>
      </c>
      <c r="D85" s="11" t="s">
        <v>169</v>
      </c>
      <c r="E85" s="15" t="str">
        <f>IF(OR(Raw!D15="",LOWER(Raw!D15)="not available"),"Not Available",HYPERLINK(Raw!D15,"Maps"))</f>
        <v>Maps</v>
      </c>
      <c r="F85" s="16" t="s">
        <v>545</v>
      </c>
      <c r="G85" s="16" t="s">
        <v>175</v>
      </c>
      <c r="H85" s="28" t="s">
        <v>174</v>
      </c>
      <c r="I85" s="8" t="str">
        <f>IF(OR(Raw!K15="",LOWER(Raw!K15)="not available"),"Not Available",HYPERLINK(Raw!K15,"Instagram"))</f>
        <v>Not Available</v>
      </c>
      <c r="J85" s="24" t="str">
        <f>IF(OR(Raw!L15="",LOWER(Raw!L15)="not available"),"Not Available",HYPERLINK(Raw!L15,"Facebook"))</f>
        <v>Facebook</v>
      </c>
      <c r="K85" s="10">
        <v>4.0</v>
      </c>
      <c r="L85" s="10">
        <v>2839.0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0">
        <v>85.0</v>
      </c>
      <c r="B86" s="10" t="s">
        <v>550</v>
      </c>
      <c r="C86" s="11" t="s">
        <v>136</v>
      </c>
      <c r="D86" s="11" t="s">
        <v>552</v>
      </c>
      <c r="E86" s="15" t="str">
        <f>IF(OR(Raw!D120="",LOWER(Raw!D120)="not available"),"Not Available",HYPERLINK(Raw!D120,"Maps"))</f>
        <v>Maps</v>
      </c>
      <c r="F86" s="16" t="s">
        <v>555</v>
      </c>
      <c r="G86" s="16" t="s">
        <v>33</v>
      </c>
      <c r="H86" s="16" t="s">
        <v>33</v>
      </c>
      <c r="I86" s="8" t="str">
        <f>IF(OR(Raw!K120="",LOWER(Raw!K120)="not available"),"Not Available",HYPERLINK(Raw!K120,"Instagram"))</f>
        <v>Not Available</v>
      </c>
      <c r="J86" s="8" t="str">
        <f>IF(OR(Raw!L120="",LOWER(Raw!L120)="not available"),"Not Available",HYPERLINK(Raw!L120,"Facebook"))</f>
        <v>Not Available</v>
      </c>
      <c r="K86" s="10">
        <v>4.9</v>
      </c>
      <c r="L86" s="10">
        <v>108.0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0">
        <v>86.0</v>
      </c>
      <c r="B87" s="10" t="s">
        <v>519</v>
      </c>
      <c r="C87" s="11" t="s">
        <v>35</v>
      </c>
      <c r="D87" s="11" t="s">
        <v>516</v>
      </c>
      <c r="E87" s="15" t="str">
        <f>IF(OR(Raw!D70="",LOWER(Raw!D70)="not available"),"Not Available",HYPERLINK(Raw!D70,"Maps"))</f>
        <v>Maps</v>
      </c>
      <c r="F87" s="16" t="s">
        <v>561</v>
      </c>
      <c r="G87" s="16" t="s">
        <v>520</v>
      </c>
      <c r="H87" s="16" t="s">
        <v>33</v>
      </c>
      <c r="I87" s="8" t="str">
        <f>IF(OR(Raw!K70="",LOWER(Raw!K70)="not available"),"Not Available",HYPERLINK(Raw!K70,"Instagram"))</f>
        <v>Not Available</v>
      </c>
      <c r="J87" s="24" t="str">
        <f>IF(OR(Raw!L70="",LOWER(Raw!L70)="not available"),"Not Available",HYPERLINK(Raw!L70,"Facebook"))</f>
        <v>Facebook</v>
      </c>
      <c r="K87" s="10">
        <v>4.7</v>
      </c>
      <c r="L87" s="10">
        <v>111.0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0">
        <v>87.0</v>
      </c>
      <c r="B88" s="26" t="s">
        <v>143</v>
      </c>
      <c r="C88" s="11" t="s">
        <v>75</v>
      </c>
      <c r="D88" s="11" t="s">
        <v>140</v>
      </c>
      <c r="E88" s="15" t="str">
        <f>IF(OR(Raw!D12="",LOWER(Raw!D12)="not available"),"Not Available",HYPERLINK(Raw!D12,"Maps"))</f>
        <v>Maps</v>
      </c>
      <c r="F88" s="16" t="s">
        <v>567</v>
      </c>
      <c r="G88" s="16" t="s">
        <v>144</v>
      </c>
      <c r="H88" s="28" t="s">
        <v>568</v>
      </c>
      <c r="I88" s="24" t="str">
        <f>IF(OR(Raw!K12="",LOWER(Raw!K12)="not available"),"Not Available",HYPERLINK(Raw!K12,"Instagram"))</f>
        <v>Instagram</v>
      </c>
      <c r="J88" s="24" t="str">
        <f>IF(OR(Raw!L12="",LOWER(Raw!L12)="not available"),"Not Available",HYPERLINK(Raw!L12,"Facebook"))</f>
        <v>Facebook</v>
      </c>
      <c r="K88" s="10">
        <v>4.7</v>
      </c>
      <c r="L88" s="10">
        <v>556.0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0">
        <v>88.0</v>
      </c>
      <c r="B89" s="10" t="s">
        <v>574</v>
      </c>
      <c r="C89" s="11" t="s">
        <v>59</v>
      </c>
      <c r="D89" s="11" t="s">
        <v>575</v>
      </c>
      <c r="E89" s="15" t="str">
        <f>IF(OR(Raw!D97="",LOWER(Raw!D97)="not available"),"Not Available",HYPERLINK(Raw!D97,"Maps"))</f>
        <v>Maps</v>
      </c>
      <c r="F89" s="16" t="s">
        <v>576</v>
      </c>
      <c r="G89" s="16" t="s">
        <v>33</v>
      </c>
      <c r="H89" s="33" t="s">
        <v>33</v>
      </c>
      <c r="I89" s="24" t="str">
        <f>IF(OR(Raw!K97="",LOWER(Raw!K97)="not available"),"Not Available",HYPERLINK(Raw!K97,"Instagram"))</f>
        <v>Instagram</v>
      </c>
      <c r="J89" s="24" t="str">
        <f>IF(OR(Raw!L97="",LOWER(Raw!L97)="not available"),"Not Available",HYPERLINK(Raw!L97,"Facebook"))</f>
        <v>Facebook</v>
      </c>
      <c r="K89" s="10">
        <v>4.8</v>
      </c>
      <c r="L89" s="10">
        <v>298.0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0">
        <v>89.0</v>
      </c>
      <c r="B90" s="10" t="s">
        <v>372</v>
      </c>
      <c r="C90" s="11" t="s">
        <v>252</v>
      </c>
      <c r="D90" s="11" t="s">
        <v>370</v>
      </c>
      <c r="E90" s="15" t="str">
        <f>IF(OR(Raw!D40="",LOWER(Raw!D40)="not available"),"Not Available",HYPERLINK(Raw!D40,"Maps"))</f>
        <v>Maps</v>
      </c>
      <c r="F90" s="16" t="s">
        <v>580</v>
      </c>
      <c r="G90" s="16" t="s">
        <v>33</v>
      </c>
      <c r="H90" s="16" t="s">
        <v>33</v>
      </c>
      <c r="I90" s="8" t="str">
        <f>IF(OR(Raw!K40="",LOWER(Raw!K40)="not available"),"Not Available",HYPERLINK(Raw!K40,"Instagram"))</f>
        <v>Not Available</v>
      </c>
      <c r="J90" s="8" t="str">
        <f>IF(OR(Raw!L40="",LOWER(Raw!L40)="not available"),"Not Available",HYPERLINK(Raw!L40,"Facebook"))</f>
        <v>Not Available</v>
      </c>
      <c r="K90" s="10">
        <v>5.0</v>
      </c>
      <c r="L90" s="10">
        <v>60.0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0">
        <v>90.0</v>
      </c>
      <c r="B91" s="10" t="s">
        <v>583</v>
      </c>
      <c r="C91" s="11" t="s">
        <v>117</v>
      </c>
      <c r="D91" s="11" t="s">
        <v>584</v>
      </c>
      <c r="E91" s="15" t="str">
        <f>IF(OR(Raw!D106="",LOWER(Raw!D106)="not available"),"Not Available",HYPERLINK(Raw!D106,"Maps"))</f>
        <v>Maps</v>
      </c>
      <c r="F91" s="16" t="s">
        <v>122</v>
      </c>
      <c r="G91" s="16" t="s">
        <v>33</v>
      </c>
      <c r="H91" s="16" t="s">
        <v>33</v>
      </c>
      <c r="I91" s="8" t="str">
        <f>IF(OR(Raw!K106="",LOWER(Raw!K106)="not available"),"Not Available",HYPERLINK(Raw!K106,"Instagram"))</f>
        <v>Not Available</v>
      </c>
      <c r="J91" s="8" t="str">
        <f>IF(OR(Raw!L106="",LOWER(Raw!L106)="not available"),"Not Available",HYPERLINK(Raw!L106,"Facebook"))</f>
        <v>Not Available</v>
      </c>
      <c r="K91" s="10">
        <v>4.0</v>
      </c>
      <c r="L91" s="10">
        <v>54.0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0">
        <v>91.0</v>
      </c>
      <c r="B92" s="26" t="s">
        <v>211</v>
      </c>
      <c r="C92" s="11" t="s">
        <v>75</v>
      </c>
      <c r="D92" s="11" t="s">
        <v>208</v>
      </c>
      <c r="E92" s="15" t="str">
        <f>IF(OR(Raw!D19="",LOWER(Raw!D19)="not available"),"Not Available",HYPERLINK(Raw!D19,"Maps"))</f>
        <v>Maps</v>
      </c>
      <c r="F92" s="16" t="s">
        <v>588</v>
      </c>
      <c r="G92" s="16" t="s">
        <v>33</v>
      </c>
      <c r="H92" s="16" t="s">
        <v>33</v>
      </c>
      <c r="I92" s="8" t="str">
        <f>IF(OR(Raw!K19="",LOWER(Raw!K19)="not available"),"Not Available",HYPERLINK(Raw!K19,"Instagram"))</f>
        <v>Not Available</v>
      </c>
      <c r="J92" s="8" t="str">
        <f>IF(OR(Raw!L19="",LOWER(Raw!L19)="not available"),"Not Available",HYPERLINK(Raw!L19,"Facebook"))</f>
        <v>Not Available</v>
      </c>
      <c r="K92" s="10">
        <v>4.9</v>
      </c>
      <c r="L92" s="10">
        <v>79.0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0">
        <v>92.0</v>
      </c>
      <c r="B93" s="10" t="s">
        <v>358</v>
      </c>
      <c r="C93" s="11" t="s">
        <v>252</v>
      </c>
      <c r="D93" s="11" t="s">
        <v>350</v>
      </c>
      <c r="E93" s="15" t="str">
        <f>IF(OR(Raw!D36="",LOWER(Raw!D36)="not available"),"Not Available",HYPERLINK(Raw!D36,"Maps"))</f>
        <v>Maps</v>
      </c>
      <c r="F93" s="16" t="s">
        <v>591</v>
      </c>
      <c r="G93" s="16" t="s">
        <v>33</v>
      </c>
      <c r="H93" s="16" t="s">
        <v>33</v>
      </c>
      <c r="I93" s="8" t="str">
        <f>IF(OR(Raw!K36="",LOWER(Raw!K36)="not available"),"Not Available",HYPERLINK(Raw!K36,"Instagram"))</f>
        <v>Not Available</v>
      </c>
      <c r="J93" s="8" t="str">
        <f>IF(OR(Raw!L36="",LOWER(Raw!L36)="not available"),"Not Available",HYPERLINK(Raw!L36,"Facebook"))</f>
        <v>Not Available</v>
      </c>
      <c r="K93" s="10">
        <v>5.0</v>
      </c>
      <c r="L93" s="10">
        <v>209.0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10">
        <v>93.0</v>
      </c>
      <c r="B94" s="10" t="s">
        <v>594</v>
      </c>
      <c r="C94" s="11" t="s">
        <v>136</v>
      </c>
      <c r="D94" s="11" t="s">
        <v>596</v>
      </c>
      <c r="E94" s="15" t="str">
        <f>IF(OR(Raw!D112="",LOWER(Raw!D112)="not available"),"Not Available",HYPERLINK(Raw!D112,"Maps"))</f>
        <v>Maps</v>
      </c>
      <c r="F94" s="16" t="s">
        <v>597</v>
      </c>
      <c r="G94" s="16" t="s">
        <v>33</v>
      </c>
      <c r="H94" s="16" t="s">
        <v>33</v>
      </c>
      <c r="I94" s="8" t="str">
        <f>IF(OR(Raw!K112="",LOWER(Raw!K112)="not available"),"Not Available",HYPERLINK(Raw!K112,"Instagram"))</f>
        <v>Not Available</v>
      </c>
      <c r="J94" s="8" t="str">
        <f>IF(OR(Raw!L112="",LOWER(Raw!L112)="not available"),"Not Available",HYPERLINK(Raw!L112,"Facebook"))</f>
        <v>Not Available</v>
      </c>
      <c r="K94" s="10">
        <v>4.6</v>
      </c>
      <c r="L94" s="10">
        <v>526.0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10">
        <v>94.0</v>
      </c>
      <c r="B95" s="10" t="s">
        <v>599</v>
      </c>
      <c r="C95" s="11" t="s">
        <v>157</v>
      </c>
      <c r="D95" s="11" t="s">
        <v>600</v>
      </c>
      <c r="E95" s="15" t="str">
        <f>IF(OR(Raw!D90="",LOWER(Raw!D90)="not available"),"Not Available",HYPERLINK(Raw!D90,"Maps"))</f>
        <v>Maps</v>
      </c>
      <c r="F95" s="16" t="s">
        <v>602</v>
      </c>
      <c r="G95" s="16" t="s">
        <v>603</v>
      </c>
      <c r="H95" s="28" t="s">
        <v>604</v>
      </c>
      <c r="I95" s="24" t="str">
        <f>IF(OR(Raw!K90="",LOWER(Raw!K90)="not available"),"Not Available",HYPERLINK(Raw!K90,"Instagram"))</f>
        <v>Instagram</v>
      </c>
      <c r="J95" s="24" t="str">
        <f>IF(OR(Raw!L90="",LOWER(Raw!L90)="not available"),"Not Available",HYPERLINK(Raw!L90,"Facebook"))</f>
        <v>Facebook</v>
      </c>
      <c r="K95" s="10">
        <v>5.0</v>
      </c>
      <c r="L95" s="10">
        <v>211.0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0">
        <v>95.0</v>
      </c>
      <c r="B96" s="10" t="s">
        <v>323</v>
      </c>
      <c r="C96" s="11" t="s">
        <v>252</v>
      </c>
      <c r="D96" s="11" t="s">
        <v>319</v>
      </c>
      <c r="E96" s="15" t="str">
        <f>IF(OR(Raw!D32="",LOWER(Raw!D32)="not available"),"Not Available",HYPERLINK(Raw!D32,"Maps"))</f>
        <v>Maps</v>
      </c>
      <c r="F96" s="16" t="s">
        <v>610</v>
      </c>
      <c r="G96" s="16" t="s">
        <v>324</v>
      </c>
      <c r="H96" s="28" t="s">
        <v>604</v>
      </c>
      <c r="I96" s="24" t="str">
        <f>IF(OR(Raw!K32="",LOWER(Raw!K32)="not available"),"Not Available",HYPERLINK(Raw!K32,"Instagram"))</f>
        <v>Instagram</v>
      </c>
      <c r="J96" s="24" t="str">
        <f>IF(OR(Raw!L32="",LOWER(Raw!L32)="not available"),"Not Available",HYPERLINK(Raw!L32,"Facebook"))</f>
        <v>Facebook</v>
      </c>
      <c r="K96" s="10">
        <v>4.8</v>
      </c>
      <c r="L96" s="10">
        <v>357.0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0">
        <v>96.0</v>
      </c>
      <c r="B97" s="10" t="s">
        <v>612</v>
      </c>
      <c r="C97" s="11" t="s">
        <v>411</v>
      </c>
      <c r="D97" s="11" t="s">
        <v>548</v>
      </c>
      <c r="E97" s="15" t="str">
        <f>IF(OR(Raw!D79="",LOWER(Raw!D79)="not available"),"Not Available",HYPERLINK(Raw!D79,"Maps"))</f>
        <v>Maps</v>
      </c>
      <c r="F97" s="16" t="s">
        <v>122</v>
      </c>
      <c r="G97" s="16" t="s">
        <v>33</v>
      </c>
      <c r="H97" s="16" t="s">
        <v>33</v>
      </c>
      <c r="I97" s="8" t="str">
        <f>IF(OR(Raw!K79="",LOWER(Raw!K79)="not available"),"Not Available",HYPERLINK(Raw!K79,"Instagram"))</f>
        <v>Not Available</v>
      </c>
      <c r="J97" s="8" t="str">
        <f>IF(OR(Raw!L79="",LOWER(Raw!L79)="not available"),"Not Available",HYPERLINK(Raw!L79,"Facebook"))</f>
        <v>Not Available</v>
      </c>
      <c r="K97" s="10">
        <v>4.3</v>
      </c>
      <c r="L97" s="10">
        <v>25.0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0">
        <v>97.0</v>
      </c>
      <c r="B98" s="10" t="s">
        <v>617</v>
      </c>
      <c r="C98" s="11" t="s">
        <v>373</v>
      </c>
      <c r="D98" s="11" t="s">
        <v>618</v>
      </c>
      <c r="E98" s="15" t="str">
        <f>IF(OR(Raw!D95="",LOWER(Raw!D95)="not available"),"Not Available",HYPERLINK(Raw!D95,"Maps"))</f>
        <v>Maps</v>
      </c>
      <c r="F98" s="16" t="s">
        <v>621</v>
      </c>
      <c r="G98" s="16" t="s">
        <v>33</v>
      </c>
      <c r="H98" s="16" t="s">
        <v>33</v>
      </c>
      <c r="I98" s="24" t="str">
        <f>IF(OR(Raw!K95="",LOWER(Raw!K95)="not available"),"Not Available",HYPERLINK(Raw!K95,"Instagram"))</f>
        <v>Instagram</v>
      </c>
      <c r="J98" s="24" t="str">
        <f>IF(OR(Raw!L95="",LOWER(Raw!L95)="not available"),"Not Available",HYPERLINK(Raw!L95,"Facebook"))</f>
        <v>Facebook</v>
      </c>
      <c r="K98" s="10">
        <v>4.7</v>
      </c>
      <c r="L98" s="10">
        <v>104.0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0">
        <v>98.0</v>
      </c>
      <c r="B99" s="10" t="s">
        <v>607</v>
      </c>
      <c r="C99" s="11" t="s">
        <v>82</v>
      </c>
      <c r="D99" s="11" t="s">
        <v>605</v>
      </c>
      <c r="E99" s="15" t="str">
        <f>IF(OR(Raw!D89="",LOWER(Raw!D89)="not available"),"Not Available",HYPERLINK(Raw!D89,"Maps"))</f>
        <v>Maps</v>
      </c>
      <c r="F99" s="16" t="s">
        <v>625</v>
      </c>
      <c r="G99" s="16" t="s">
        <v>33</v>
      </c>
      <c r="H99" s="16" t="s">
        <v>33</v>
      </c>
      <c r="I99" s="24" t="str">
        <f>IF(OR(Raw!K89="",LOWER(Raw!K89)="not available"),"Not Available",HYPERLINK(Raw!K89,"Instagram"))</f>
        <v>Instagram</v>
      </c>
      <c r="J99" s="24" t="str">
        <f>IF(OR(Raw!L89="",LOWER(Raw!L89)="not available"),"Not Available",HYPERLINK(Raw!L89,"Facebook"))</f>
        <v>Facebook</v>
      </c>
      <c r="K99" s="10">
        <v>4.8</v>
      </c>
      <c r="L99" s="10">
        <v>316.0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0">
        <v>99.0</v>
      </c>
      <c r="B100" s="10" t="s">
        <v>593</v>
      </c>
      <c r="C100" s="11" t="s">
        <v>82</v>
      </c>
      <c r="D100" s="11" t="s">
        <v>590</v>
      </c>
      <c r="E100" s="15" t="str">
        <f>IF(OR(Raw!D87="",LOWER(Raw!D87)="not available"),"Not Available",HYPERLINK(Raw!D87,"Maps"))</f>
        <v>Maps</v>
      </c>
      <c r="F100" s="16" t="s">
        <v>629</v>
      </c>
      <c r="G100" s="16" t="s">
        <v>33</v>
      </c>
      <c r="H100" s="16" t="s">
        <v>33</v>
      </c>
      <c r="I100" s="24" t="str">
        <f>IF(OR(Raw!K87="",LOWER(Raw!K87)="not available"),"Not Available",HYPERLINK(Raw!K87,"Instagram"))</f>
        <v>Instagram</v>
      </c>
      <c r="J100" s="24" t="str">
        <f>IF(OR(Raw!L87="",LOWER(Raw!L87)="not available"),"Not Available",HYPERLINK(Raw!L87,"Facebook"))</f>
        <v>Facebook</v>
      </c>
      <c r="K100" s="10">
        <v>4.8</v>
      </c>
      <c r="L100" s="10">
        <v>220.0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0">
        <v>100.0</v>
      </c>
      <c r="B101" s="10" t="s">
        <v>488</v>
      </c>
      <c r="C101" s="11" t="s">
        <v>43</v>
      </c>
      <c r="D101" s="11" t="s">
        <v>483</v>
      </c>
      <c r="E101" s="15" t="str">
        <f>IF(OR(Raw!D63="",LOWER(Raw!D63)="not available"),"Not Available",HYPERLINK(Raw!D63,"Maps"))</f>
        <v>Maps</v>
      </c>
      <c r="F101" s="16" t="s">
        <v>122</v>
      </c>
      <c r="G101" s="16" t="s">
        <v>33</v>
      </c>
      <c r="H101" s="16" t="s">
        <v>33</v>
      </c>
      <c r="I101" s="8" t="str">
        <f>IF(OR(Raw!K63="",LOWER(Raw!K63)="not available"),"Not Available",HYPERLINK(Raw!K63,"Instagram"))</f>
        <v>Not Available</v>
      </c>
      <c r="J101" s="8" t="str">
        <f>IF(OR(Raw!L63="",LOWER(Raw!L63)="not available"),"Not Available",HYPERLINK(Raw!L63,"Facebook"))</f>
        <v>Not Available</v>
      </c>
      <c r="K101" s="10">
        <v>5.0</v>
      </c>
      <c r="L101" s="10">
        <v>33.0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0">
        <v>101.0</v>
      </c>
      <c r="B102" s="10" t="s">
        <v>423</v>
      </c>
      <c r="C102" s="11" t="s">
        <v>151</v>
      </c>
      <c r="D102" s="11" t="s">
        <v>420</v>
      </c>
      <c r="E102" s="15" t="str">
        <f>IF(OR(Raw!D49="",LOWER(Raw!D49)="not available"),"Not Available",HYPERLINK(Raw!D49,"Maps"))</f>
        <v>Maps</v>
      </c>
      <c r="F102" s="16" t="s">
        <v>637</v>
      </c>
      <c r="G102" s="16" t="s">
        <v>33</v>
      </c>
      <c r="H102" s="16" t="s">
        <v>33</v>
      </c>
      <c r="I102" s="24" t="str">
        <f>IF(OR(Raw!K49="",LOWER(Raw!K49)="not available"),"Not Available",HYPERLINK(Raw!K49,"Instagram"))</f>
        <v>Instagram</v>
      </c>
      <c r="J102" s="24" t="str">
        <f>IF(OR(Raw!L49="",LOWER(Raw!L49)="not available"),"Not Available",HYPERLINK(Raw!L49,"Facebook"))</f>
        <v>Facebook</v>
      </c>
      <c r="K102" s="10">
        <v>4.8</v>
      </c>
      <c r="L102" s="10">
        <v>183.0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0">
        <v>102.0</v>
      </c>
      <c r="B103" s="10" t="s">
        <v>49</v>
      </c>
      <c r="C103" s="11" t="s">
        <v>28</v>
      </c>
      <c r="D103" s="11" t="s">
        <v>45</v>
      </c>
      <c r="E103" s="15" t="str">
        <f>IF(OR(Raw!D3="",LOWER(Raw!D3)="not available"),"Not Available",HYPERLINK(Raw!D3,"Maps"))</f>
        <v>Maps</v>
      </c>
      <c r="F103" s="16" t="s">
        <v>640</v>
      </c>
      <c r="G103" s="16" t="s">
        <v>51</v>
      </c>
      <c r="H103" s="16" t="s">
        <v>33</v>
      </c>
      <c r="I103" s="24" t="str">
        <f>IF(OR(Raw!K3="",LOWER(Raw!K3)="not available"),"Not Available",HYPERLINK(Raw!K3,"Instagram"))</f>
        <v>Instagram</v>
      </c>
      <c r="J103" s="24" t="str">
        <f>IF(OR(Raw!L3="",LOWER(Raw!L3)="not available"),"Not Available",HYPERLINK(Raw!L3,"Facebook"))</f>
        <v>Facebook</v>
      </c>
      <c r="K103" s="10">
        <v>4.8</v>
      </c>
      <c r="L103" s="10">
        <v>175.0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0">
        <v>103.0</v>
      </c>
      <c r="B104" s="26" t="s">
        <v>271</v>
      </c>
      <c r="C104" s="11" t="s">
        <v>68</v>
      </c>
      <c r="D104" s="11" t="s">
        <v>265</v>
      </c>
      <c r="E104" s="15" t="str">
        <f>IF(OR(Raw!D25="",LOWER(Raw!D25)="not available"),"Not Available",HYPERLINK(Raw!D25,"Maps"))</f>
        <v>Maps</v>
      </c>
      <c r="F104" s="16" t="s">
        <v>642</v>
      </c>
      <c r="G104" s="16" t="s">
        <v>51</v>
      </c>
      <c r="H104" s="16" t="s">
        <v>33</v>
      </c>
      <c r="I104" s="24" t="str">
        <f>IF(OR(Raw!K25="",LOWER(Raw!K25)="not available"),"Not Available",HYPERLINK(Raw!K25,"Instagram"))</f>
        <v>Instagram</v>
      </c>
      <c r="J104" s="24" t="str">
        <f>IF(OR(Raw!L25="",LOWER(Raw!L25)="not available"),"Not Available",HYPERLINK(Raw!L25,"Facebook"))</f>
        <v>Facebook</v>
      </c>
      <c r="K104" s="10">
        <v>4.8</v>
      </c>
      <c r="L104" s="10">
        <v>1284.0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0">
        <v>104.0</v>
      </c>
      <c r="B105" s="26" t="s">
        <v>166</v>
      </c>
      <c r="C105" s="11" t="s">
        <v>75</v>
      </c>
      <c r="D105" s="11" t="s">
        <v>162</v>
      </c>
      <c r="E105" s="15" t="str">
        <f>IF(OR(Raw!D14="",LOWER(Raw!D14)="not available"),"Not Available",HYPERLINK(Raw!D14,"Maps"))</f>
        <v>Maps</v>
      </c>
      <c r="F105" s="16" t="s">
        <v>648</v>
      </c>
      <c r="G105" s="16" t="s">
        <v>51</v>
      </c>
      <c r="H105" s="16" t="s">
        <v>33</v>
      </c>
      <c r="I105" s="24" t="str">
        <f>IF(OR(Raw!K14="",LOWER(Raw!K14)="not available"),"Not Available",HYPERLINK(Raw!K14,"Instagram"))</f>
        <v>Instagram</v>
      </c>
      <c r="J105" s="24" t="str">
        <f>IF(OR(Raw!L14="",LOWER(Raw!L14)="not available"),"Not Available",HYPERLINK(Raw!L14,"Facebook"))</f>
        <v>Facebook</v>
      </c>
      <c r="K105" s="10">
        <v>4.6</v>
      </c>
      <c r="L105" s="10">
        <v>207.0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0">
        <v>105.0</v>
      </c>
      <c r="B106" s="10" t="s">
        <v>651</v>
      </c>
      <c r="C106" s="11" t="s">
        <v>136</v>
      </c>
      <c r="D106" s="11" t="s">
        <v>653</v>
      </c>
      <c r="E106" s="15" t="str">
        <f>IF(OR(Raw!D114="",LOWER(Raw!D114)="not available"),"Not Available",HYPERLINK(Raw!D114,"Maps"))</f>
        <v>Maps</v>
      </c>
      <c r="F106" s="16" t="s">
        <v>654</v>
      </c>
      <c r="G106" s="16" t="s">
        <v>655</v>
      </c>
      <c r="H106" s="16" t="s">
        <v>33</v>
      </c>
      <c r="I106" s="24" t="str">
        <f>IF(OR(Raw!K114="",LOWER(Raw!K114)="not available"),"Not Available",HYPERLINK(Raw!K114,"Instagram"))</f>
        <v>Instagram</v>
      </c>
      <c r="J106" s="24" t="str">
        <f>IF(OR(Raw!L114="",LOWER(Raw!L114)="not available"),"Not Available",HYPERLINK(Raw!L114,"Facebook"))</f>
        <v>Facebook</v>
      </c>
      <c r="K106" s="10">
        <v>4.8</v>
      </c>
      <c r="L106" s="10">
        <v>293.0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0">
        <v>106.0</v>
      </c>
      <c r="B107" s="10" t="s">
        <v>658</v>
      </c>
      <c r="C107" s="11" t="s">
        <v>52</v>
      </c>
      <c r="D107" s="11" t="s">
        <v>659</v>
      </c>
      <c r="E107" s="15" t="str">
        <f>IF(OR(Raw!D134="",LOWER(Raw!D134)="not available"),"Not Available",HYPERLINK(Raw!D134,"Maps"))</f>
        <v>Maps</v>
      </c>
      <c r="F107" s="16" t="s">
        <v>661</v>
      </c>
      <c r="G107" s="16" t="s">
        <v>51</v>
      </c>
      <c r="H107" s="16" t="s">
        <v>33</v>
      </c>
      <c r="I107" s="24" t="str">
        <f>IF(OR(Raw!K134="",LOWER(Raw!K134)="not available"),"Not Available",HYPERLINK(Raw!K134,"Instagram"))</f>
        <v>Instagram</v>
      </c>
      <c r="J107" s="24" t="str">
        <f>IF(OR(Raw!L134="",LOWER(Raw!L134)="not available"),"Not Available",HYPERLINK(Raw!L134,"Facebook"))</f>
        <v>Facebook</v>
      </c>
      <c r="K107" s="10">
        <v>4.9</v>
      </c>
      <c r="L107" s="10">
        <v>107.0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0">
        <v>107.0</v>
      </c>
      <c r="B108" s="10" t="s">
        <v>130</v>
      </c>
      <c r="C108" s="11" t="s">
        <v>28</v>
      </c>
      <c r="D108" s="11" t="s">
        <v>124</v>
      </c>
      <c r="E108" s="15" t="str">
        <f>IF(OR(Raw!D10="",LOWER(Raw!D10)="not available"),"Not Available",HYPERLINK(Raw!D10,"Maps"))</f>
        <v>Maps</v>
      </c>
      <c r="F108" s="16" t="s">
        <v>667</v>
      </c>
      <c r="G108" s="16" t="s">
        <v>51</v>
      </c>
      <c r="H108" s="16" t="s">
        <v>33</v>
      </c>
      <c r="I108" s="24" t="str">
        <f>IF(OR(Raw!K10="",LOWER(Raw!K10)="not available"),"Not Available",HYPERLINK(Raw!K10,"Instagram"))</f>
        <v>Instagram</v>
      </c>
      <c r="J108" s="24" t="str">
        <f>IF(OR(Raw!L10="",LOWER(Raw!L10)="not available"),"Not Available",HYPERLINK(Raw!L10,"Facebook"))</f>
        <v>Facebook</v>
      </c>
      <c r="K108" s="10">
        <v>4.8</v>
      </c>
      <c r="L108" s="10">
        <v>349.0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0">
        <v>108.0</v>
      </c>
      <c r="B109" s="10" t="s">
        <v>435</v>
      </c>
      <c r="C109" s="11" t="s">
        <v>151</v>
      </c>
      <c r="D109" s="11" t="s">
        <v>433</v>
      </c>
      <c r="E109" s="15" t="str">
        <f>IF(OR(Raw!D51="",LOWER(Raw!D51)="not available"),"Not Available",HYPERLINK(Raw!D51,"Maps"))</f>
        <v>Maps</v>
      </c>
      <c r="F109" s="16" t="s">
        <v>670</v>
      </c>
      <c r="G109" s="16" t="s">
        <v>33</v>
      </c>
      <c r="H109" s="16" t="s">
        <v>33</v>
      </c>
      <c r="I109" s="24" t="str">
        <f>IF(OR(Raw!K51="",LOWER(Raw!K51)="not available"),"Not Available",HYPERLINK(Raw!K51,"Instagram"))</f>
        <v>Instagram</v>
      </c>
      <c r="J109" s="24" t="str">
        <f>IF(OR(Raw!L51="",LOWER(Raw!L51)="not available"),"Not Available",HYPERLINK(Raw!L51,"Facebook"))</f>
        <v>Facebook</v>
      </c>
      <c r="K109" s="10">
        <v>4.2</v>
      </c>
      <c r="L109" s="10">
        <v>851.0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0">
        <v>109.0</v>
      </c>
      <c r="B110" s="10" t="s">
        <v>673</v>
      </c>
      <c r="C110" s="11" t="s">
        <v>267</v>
      </c>
      <c r="D110" s="11" t="s">
        <v>674</v>
      </c>
      <c r="E110" s="15" t="str">
        <f>IF(OR(Raw!D143="",LOWER(Raw!D143)="not available"),"Not Available",HYPERLINK(Raw!D143,"Maps"))</f>
        <v>Maps</v>
      </c>
      <c r="F110" s="16" t="s">
        <v>676</v>
      </c>
      <c r="G110" s="16" t="s">
        <v>33</v>
      </c>
      <c r="H110" s="16" t="s">
        <v>33</v>
      </c>
      <c r="I110" s="24" t="str">
        <f>IF(OR(Raw!K143="",LOWER(Raw!K143)="not available"),"Not Available",HYPERLINK(Raw!K143,"Instagram"))</f>
        <v>Instagram</v>
      </c>
      <c r="J110" s="24" t="str">
        <f>IF(OR(Raw!L143="",LOWER(Raw!L143)="not available"),"Not Available",HYPERLINK(Raw!L143,"Facebook"))</f>
        <v>Facebook</v>
      </c>
      <c r="K110" s="10">
        <v>4.4</v>
      </c>
      <c r="L110" s="10">
        <v>36.0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0">
        <v>110.0</v>
      </c>
      <c r="B111" s="10" t="s">
        <v>512</v>
      </c>
      <c r="C111" s="11" t="s">
        <v>35</v>
      </c>
      <c r="D111" s="11" t="s">
        <v>509</v>
      </c>
      <c r="E111" s="15" t="str">
        <f>IF(OR(Raw!D68="",LOWER(Raw!D68)="not available"),"Not Available",HYPERLINK(Raw!D68,"Maps"))</f>
        <v>Maps</v>
      </c>
      <c r="F111" s="16" t="s">
        <v>122</v>
      </c>
      <c r="G111" s="16" t="s">
        <v>33</v>
      </c>
      <c r="H111" s="16" t="s">
        <v>33</v>
      </c>
      <c r="I111" s="24" t="str">
        <f>IF(OR(Raw!K68="",LOWER(Raw!K68)="not available"),"Not Available",HYPERLINK(Raw!K68,"Instagram"))</f>
        <v>Instagram</v>
      </c>
      <c r="J111" s="24" t="str">
        <f>IF(OR(Raw!L68="",LOWER(Raw!L68)="not available"),"Not Available",HYPERLINK(Raw!L68,"Facebook"))</f>
        <v>Facebook</v>
      </c>
      <c r="K111" s="10">
        <v>4.6</v>
      </c>
      <c r="L111" s="10">
        <v>175.0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0">
        <v>111.0</v>
      </c>
      <c r="B112" s="10" t="s">
        <v>682</v>
      </c>
      <c r="C112" s="11" t="s">
        <v>105</v>
      </c>
      <c r="D112" s="11" t="s">
        <v>683</v>
      </c>
      <c r="E112" s="15" t="str">
        <f>IF(OR(Raw!D125="",LOWER(Raw!D125)="not available"),"Not Available",HYPERLINK(Raw!D125,"Maps"))</f>
        <v>Maps</v>
      </c>
      <c r="F112" s="16" t="s">
        <v>122</v>
      </c>
      <c r="G112" s="16" t="s">
        <v>33</v>
      </c>
      <c r="H112" s="16" t="s">
        <v>33</v>
      </c>
      <c r="I112" s="24" t="str">
        <f>IF(OR(Raw!K125="",LOWER(Raw!K125)="not available"),"Not Available",HYPERLINK(Raw!K125,"Instagram"))</f>
        <v>Instagram</v>
      </c>
      <c r="J112" s="24" t="str">
        <f>IF(OR(Raw!L125="",LOWER(Raw!L125)="not available"),"Not Available",HYPERLINK(Raw!L125,"Facebook"))</f>
        <v>Facebook</v>
      </c>
      <c r="K112" s="10">
        <v>4.5</v>
      </c>
      <c r="L112" s="10">
        <v>269.0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0">
        <v>112.0</v>
      </c>
      <c r="B113" s="10" t="s">
        <v>451</v>
      </c>
      <c r="C113" s="11" t="s">
        <v>151</v>
      </c>
      <c r="D113" s="11" t="s">
        <v>449</v>
      </c>
      <c r="E113" s="15" t="str">
        <f>IF(OR(Raw!D53="",LOWER(Raw!D53)="not available"),"Not Available",HYPERLINK(Raw!D53,"Maps"))</f>
        <v>Maps</v>
      </c>
      <c r="F113" s="16" t="s">
        <v>686</v>
      </c>
      <c r="G113" s="16" t="s">
        <v>33</v>
      </c>
      <c r="H113" s="16" t="s">
        <v>33</v>
      </c>
      <c r="I113" s="8" t="str">
        <f>IF(OR(Raw!K53="",LOWER(Raw!K53)="not available"),"Not Available",HYPERLINK(Raw!K53,"Instagram"))</f>
        <v>Not Available</v>
      </c>
      <c r="J113" s="8" t="str">
        <f>IF(OR(Raw!L53="",LOWER(Raw!L53)="not available"),"Not Available",HYPERLINK(Raw!L53,"Facebook"))</f>
        <v>Not Available</v>
      </c>
      <c r="K113" s="10">
        <v>5.0</v>
      </c>
      <c r="L113" s="10">
        <v>11.0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0">
        <v>113.0</v>
      </c>
      <c r="B114" s="10" t="s">
        <v>556</v>
      </c>
      <c r="C114" s="11" t="s">
        <v>82</v>
      </c>
      <c r="D114" s="11" t="s">
        <v>553</v>
      </c>
      <c r="E114" s="15" t="str">
        <f>IF(OR(Raw!D80="",LOWER(Raw!D80)="not available"),"Not Available",HYPERLINK(Raw!D80,"Maps"))</f>
        <v>Maps</v>
      </c>
      <c r="F114" s="16" t="s">
        <v>688</v>
      </c>
      <c r="G114" s="16" t="s">
        <v>33</v>
      </c>
      <c r="H114" s="16" t="s">
        <v>33</v>
      </c>
      <c r="I114" s="8" t="str">
        <f>IF(OR(Raw!K80="",LOWER(Raw!K80)="not available"),"Not Available",HYPERLINK(Raw!K80,"Instagram"))</f>
        <v>Not Available</v>
      </c>
      <c r="J114" s="8" t="str">
        <f>IF(OR(Raw!L80="",LOWER(Raw!L80)="not available"),"Not Available",HYPERLINK(Raw!L80,"Facebook"))</f>
        <v>Not Available</v>
      </c>
      <c r="K114" s="10">
        <v>4.9</v>
      </c>
      <c r="L114" s="10">
        <v>363.0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0">
        <v>114.0</v>
      </c>
      <c r="B115" s="26" t="s">
        <v>304</v>
      </c>
      <c r="C115" s="11" t="s">
        <v>68</v>
      </c>
      <c r="D115" s="11" t="s">
        <v>301</v>
      </c>
      <c r="E115" s="15" t="str">
        <f>IF(OR(Raw!D29="",LOWER(Raw!D29)="not available"),"Not Available",HYPERLINK(Raw!D29,"Maps"))</f>
        <v>Maps</v>
      </c>
      <c r="F115" s="16" t="s">
        <v>691</v>
      </c>
      <c r="G115" s="16" t="s">
        <v>33</v>
      </c>
      <c r="H115" s="16" t="s">
        <v>33</v>
      </c>
      <c r="I115" s="24" t="str">
        <f>IF(OR(Raw!K29="",LOWER(Raw!K29)="not available"),"Not Available",HYPERLINK(Raw!K29,"Instagram"))</f>
        <v>Instagram</v>
      </c>
      <c r="J115" s="24" t="str">
        <f>IF(OR(Raw!L29="",LOWER(Raw!L29)="not available"),"Not Available",HYPERLINK(Raw!L29,"Facebook"))</f>
        <v>Facebook</v>
      </c>
      <c r="K115" s="10">
        <v>5.0</v>
      </c>
      <c r="L115" s="10">
        <v>191.0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0">
        <v>115.0</v>
      </c>
      <c r="B116" s="10" t="s">
        <v>408</v>
      </c>
      <c r="C116" s="11" t="s">
        <v>151</v>
      </c>
      <c r="D116" s="11" t="s">
        <v>405</v>
      </c>
      <c r="E116" s="15" t="str">
        <f>IF(OR(Raw!D47="",LOWER(Raw!D47)="not available"),"Not Available",HYPERLINK(Raw!D47,"Maps"))</f>
        <v>Maps</v>
      </c>
      <c r="F116" s="16" t="s">
        <v>697</v>
      </c>
      <c r="G116" s="16" t="s">
        <v>33</v>
      </c>
      <c r="H116" s="16" t="s">
        <v>33</v>
      </c>
      <c r="I116" s="24" t="str">
        <f>IF(OR(Raw!K47="",LOWER(Raw!K47)="not available"),"Not Available",HYPERLINK(Raw!K47,"Instagram"))</f>
        <v>Instagram</v>
      </c>
      <c r="J116" s="24" t="str">
        <f>IF(OR(Raw!L47="",LOWER(Raw!L47)="not available"),"Not Available",HYPERLINK(Raw!L47,"Facebook"))</f>
        <v>Facebook</v>
      </c>
      <c r="K116" s="10">
        <v>4.5</v>
      </c>
      <c r="L116" s="10">
        <v>401.0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0">
        <v>116.0</v>
      </c>
      <c r="B117" s="10" t="s">
        <v>619</v>
      </c>
      <c r="C117" s="11" t="s">
        <v>157</v>
      </c>
      <c r="D117" s="11" t="s">
        <v>615</v>
      </c>
      <c r="E117" s="15" t="str">
        <f>IF(OR(Raw!D91="",LOWER(Raw!D91)="not available"),"Not Available",HYPERLINK(Raw!D91,"Maps"))</f>
        <v>Maps</v>
      </c>
      <c r="F117" s="16" t="s">
        <v>700</v>
      </c>
      <c r="G117" s="16" t="s">
        <v>33</v>
      </c>
      <c r="H117" s="16" t="s">
        <v>33</v>
      </c>
      <c r="I117" s="24" t="str">
        <f>IF(OR(Raw!K91="",LOWER(Raw!K91)="not available"),"Not Available",HYPERLINK(Raw!K91,"Instagram"))</f>
        <v>Instagram</v>
      </c>
      <c r="J117" s="24" t="str">
        <f>IF(OR(Raw!L91="",LOWER(Raw!L91)="not available"),"Not Available",HYPERLINK(Raw!L91,"Facebook"))</f>
        <v>Facebook</v>
      </c>
      <c r="K117" s="10">
        <v>4.9</v>
      </c>
      <c r="L117" s="10">
        <v>188.0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0">
        <v>117.0</v>
      </c>
      <c r="B118" s="10" t="s">
        <v>395</v>
      </c>
      <c r="C118" s="11" t="s">
        <v>151</v>
      </c>
      <c r="D118" s="11" t="s">
        <v>391</v>
      </c>
      <c r="E118" s="15" t="str">
        <f>IF(OR(Raw!D45="",LOWER(Raw!D45)="not available"),"Not Available",HYPERLINK(Raw!D45,"Maps"))</f>
        <v>Maps</v>
      </c>
      <c r="F118" s="16" t="s">
        <v>122</v>
      </c>
      <c r="G118" s="16" t="s">
        <v>33</v>
      </c>
      <c r="H118" s="16" t="s">
        <v>33</v>
      </c>
      <c r="I118" s="24" t="str">
        <f>IF(OR(Raw!K45="",LOWER(Raw!K45)="not available"),"Not Available",HYPERLINK(Raw!K45,"Instagram"))</f>
        <v>Instagram</v>
      </c>
      <c r="J118" s="24" t="str">
        <f>IF(OR(Raw!L45="",LOWER(Raw!L45)="not available"),"Not Available",HYPERLINK(Raw!L45,"Facebook"))</f>
        <v>Facebook</v>
      </c>
      <c r="K118" s="10">
        <v>4.8</v>
      </c>
      <c r="L118" s="10">
        <v>399.0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0">
        <v>118.0</v>
      </c>
      <c r="B119" s="10" t="s">
        <v>709</v>
      </c>
      <c r="C119" s="11" t="s">
        <v>26</v>
      </c>
      <c r="D119" s="11" t="s">
        <v>710</v>
      </c>
      <c r="E119" s="15" t="str">
        <f>IF(OR(Raw!D151="",LOWER(Raw!D151)="not available"),"Not Available",HYPERLINK(Raw!D151,"Maps"))</f>
        <v>Maps</v>
      </c>
      <c r="F119" s="16" t="s">
        <v>122</v>
      </c>
      <c r="G119" s="16" t="s">
        <v>33</v>
      </c>
      <c r="H119" s="16" t="s">
        <v>33</v>
      </c>
      <c r="I119" s="24" t="str">
        <f>IF(OR(Raw!K151="",LOWER(Raw!K151)="not available"),"Not Available",HYPERLINK(Raw!K151,"Instagram"))</f>
        <v>Instagram</v>
      </c>
      <c r="J119" s="24" t="str">
        <f>IF(OR(Raw!L151="",LOWER(Raw!L151)="not available"),"Not Available",HYPERLINK(Raw!L151,"Facebook"))</f>
        <v>Facebook</v>
      </c>
      <c r="K119" s="10">
        <v>4.9</v>
      </c>
      <c r="L119" s="10">
        <v>216.0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0">
        <v>119.0</v>
      </c>
      <c r="B120" s="10" t="s">
        <v>495</v>
      </c>
      <c r="C120" s="11" t="s">
        <v>43</v>
      </c>
      <c r="D120" s="11" t="s">
        <v>492</v>
      </c>
      <c r="E120" s="15" t="str">
        <f>IF(OR(Raw!D65="",LOWER(Raw!D65)="not available"),"Not Available",HYPERLINK(Raw!D65,"Maps"))</f>
        <v>Maps</v>
      </c>
      <c r="F120" s="16" t="s">
        <v>122</v>
      </c>
      <c r="G120" s="16" t="s">
        <v>33</v>
      </c>
      <c r="H120" s="16" t="s">
        <v>33</v>
      </c>
      <c r="I120" s="8" t="str">
        <f>IF(OR(Raw!K65="",LOWER(Raw!K65)="not available"),"Not Available",HYPERLINK(Raw!K65,"Instagram"))</f>
        <v>Not Available</v>
      </c>
      <c r="J120" s="8" t="str">
        <f>IF(OR(Raw!L65="",LOWER(Raw!L65)="not available"),"Not Available",HYPERLINK(Raw!L65,"Facebook"))</f>
        <v>Not Available</v>
      </c>
      <c r="K120" s="10">
        <v>4.2</v>
      </c>
      <c r="L120" s="10">
        <v>219.0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0">
        <v>120.0</v>
      </c>
      <c r="B121" s="10" t="s">
        <v>715</v>
      </c>
      <c r="C121" s="11" t="s">
        <v>105</v>
      </c>
      <c r="D121" s="11" t="s">
        <v>716</v>
      </c>
      <c r="E121" s="15" t="str">
        <f>IF(OR(Raw!D129="",LOWER(Raw!D129)="not available"),"Not Available",HYPERLINK(Raw!D129,"Maps"))</f>
        <v>Maps</v>
      </c>
      <c r="F121" s="16" t="s">
        <v>122</v>
      </c>
      <c r="G121" s="16" t="s">
        <v>33</v>
      </c>
      <c r="H121" s="16" t="s">
        <v>33</v>
      </c>
      <c r="I121" s="24" t="str">
        <f>IF(OR(Raw!K129="",LOWER(Raw!K129)="not available"),"Not Available",HYPERLINK(Raw!K129,"Instagram"))</f>
        <v>Instagram</v>
      </c>
      <c r="J121" s="8" t="str">
        <f>IF(OR(Raw!L129="",LOWER(Raw!L129)="not available"),"Not Available",HYPERLINK(Raw!L129,"Facebook"))</f>
        <v>Not Available</v>
      </c>
      <c r="K121" s="10">
        <v>4.5</v>
      </c>
      <c r="L121" s="10">
        <v>171.0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0">
        <v>121.0</v>
      </c>
      <c r="B122" s="10" t="s">
        <v>563</v>
      </c>
      <c r="C122" s="11" t="s">
        <v>82</v>
      </c>
      <c r="D122" s="11" t="s">
        <v>560</v>
      </c>
      <c r="E122" s="15" t="str">
        <f>IF(OR(Raw!D82="",LOWER(Raw!D82)="not available"),"Not Available",HYPERLINK(Raw!D82,"Maps"))</f>
        <v>Maps</v>
      </c>
      <c r="F122" s="16" t="s">
        <v>721</v>
      </c>
      <c r="G122" s="16" t="s">
        <v>564</v>
      </c>
      <c r="H122" s="15" t="s">
        <v>722</v>
      </c>
      <c r="I122" s="24" t="str">
        <f>IF(OR(Raw!K82="",LOWER(Raw!K82)="not available"),"Not Available",HYPERLINK(Raw!K82,"Instagram"))</f>
        <v>Instagram</v>
      </c>
      <c r="J122" s="24" t="str">
        <f>IF(OR(Raw!L82="",LOWER(Raw!L82)="not available"),"Not Available",HYPERLINK(Raw!L82,"Facebook"))</f>
        <v>Facebook</v>
      </c>
      <c r="K122" s="10">
        <v>4.7</v>
      </c>
      <c r="L122" s="10">
        <v>412.0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0">
        <v>122.0</v>
      </c>
      <c r="B123" s="10" t="s">
        <v>133</v>
      </c>
      <c r="C123" s="11" t="s">
        <v>28</v>
      </c>
      <c r="D123" s="11" t="s">
        <v>131</v>
      </c>
      <c r="E123" s="15" t="str">
        <f>IF(OR(Raw!D11="",LOWER(Raw!D11)="not available"),"Not Available",HYPERLINK(Raw!D11,"Maps"))</f>
        <v>Maps</v>
      </c>
      <c r="F123" s="16" t="s">
        <v>726</v>
      </c>
      <c r="G123" s="16" t="s">
        <v>33</v>
      </c>
      <c r="H123" s="16" t="s">
        <v>33</v>
      </c>
      <c r="I123" s="24" t="str">
        <f>IF(OR(Raw!K11="",LOWER(Raw!K11)="not available"),"Not Available",HYPERLINK(Raw!K11,"Instagram"))</f>
        <v>Instagram</v>
      </c>
      <c r="J123" s="24" t="str">
        <f>IF(OR(Raw!L11="",LOWER(Raw!L11)="not available"),"Not Available",HYPERLINK(Raw!L11,"Facebook"))</f>
        <v>Facebook</v>
      </c>
      <c r="K123" s="10">
        <v>4.6</v>
      </c>
      <c r="L123" s="10">
        <v>108.0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0">
        <v>123.0</v>
      </c>
      <c r="B124" s="26" t="s">
        <v>297</v>
      </c>
      <c r="C124" s="11" t="s">
        <v>68</v>
      </c>
      <c r="D124" s="11" t="s">
        <v>293</v>
      </c>
      <c r="E124" s="15" t="str">
        <f>IF(OR(Raw!D28="",LOWER(Raw!D28)="not available"),"Not Available",HYPERLINK(Raw!D28,"Maps"))</f>
        <v>Maps</v>
      </c>
      <c r="F124" s="16" t="s">
        <v>730</v>
      </c>
      <c r="G124" s="16" t="s">
        <v>33</v>
      </c>
      <c r="H124" s="16" t="s">
        <v>33</v>
      </c>
      <c r="I124" s="24" t="str">
        <f>IF(OR(Raw!K28="",LOWER(Raw!K28)="not available"),"Not Available",HYPERLINK(Raw!K28,"Instagram"))</f>
        <v>Instagram</v>
      </c>
      <c r="J124" s="24" t="str">
        <f>IF(OR(Raw!L28="",LOWER(Raw!L28)="not available"),"Not Available",HYPERLINK(Raw!L28,"Facebook"))</f>
        <v>Facebook</v>
      </c>
      <c r="K124" s="10">
        <v>4.3</v>
      </c>
      <c r="L124" s="10">
        <v>184.0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0">
        <v>124.0</v>
      </c>
      <c r="B125" s="26" t="s">
        <v>229</v>
      </c>
      <c r="C125" s="11" t="s">
        <v>75</v>
      </c>
      <c r="D125" s="11" t="s">
        <v>222</v>
      </c>
      <c r="E125" s="15" t="str">
        <f>IF(OR(Raw!D21="",LOWER(Raw!D21)="not available"),"Not Available",HYPERLINK(Raw!D21,"Maps"))</f>
        <v>Maps</v>
      </c>
      <c r="F125" s="16" t="s">
        <v>732</v>
      </c>
      <c r="G125" s="16" t="s">
        <v>33</v>
      </c>
      <c r="H125" s="16" t="s">
        <v>33</v>
      </c>
      <c r="I125" s="24" t="str">
        <f>IF(OR(Raw!K21="",LOWER(Raw!K21)="not available"),"Not Available",HYPERLINK(Raw!K21,"Instagram"))</f>
        <v>Instagram</v>
      </c>
      <c r="J125" s="24" t="str">
        <f>IF(OR(Raw!L21="",LOWER(Raw!L21)="not available"),"Not Available",HYPERLINK(Raw!L21,"Facebook"))</f>
        <v>Facebook</v>
      </c>
      <c r="K125" s="10">
        <v>4.6</v>
      </c>
      <c r="L125" s="10">
        <v>174.0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0">
        <v>125.0</v>
      </c>
      <c r="B126" s="10" t="s">
        <v>701</v>
      </c>
      <c r="C126" s="11" t="s">
        <v>117</v>
      </c>
      <c r="D126" s="11" t="s">
        <v>698</v>
      </c>
      <c r="E126" s="15" t="str">
        <f>IF(OR(Raw!D107="",LOWER(Raw!D107)="not available"),"Not Available",HYPERLINK(Raw!D107,"Maps"))</f>
        <v>Maps</v>
      </c>
      <c r="F126" s="16" t="s">
        <v>734</v>
      </c>
      <c r="G126" s="16" t="s">
        <v>33</v>
      </c>
      <c r="H126" s="16" t="s">
        <v>33</v>
      </c>
      <c r="I126" s="8" t="str">
        <f>IF(OR(Raw!K107="",LOWER(Raw!K107)="not available"),"Not Available",HYPERLINK(Raw!K107,"Instagram"))</f>
        <v>Not Available</v>
      </c>
      <c r="J126" s="8" t="str">
        <f>IF(OR(Raw!L107="",LOWER(Raw!L107)="not available"),"Not Available",HYPERLINK(Raw!L107,"Facebook"))</f>
        <v>Not Available</v>
      </c>
      <c r="K126" s="10">
        <v>4.8</v>
      </c>
      <c r="L126" s="10">
        <v>393.0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0">
        <v>126.0</v>
      </c>
      <c r="B127" s="10" t="s">
        <v>725</v>
      </c>
      <c r="C127" s="11" t="s">
        <v>136</v>
      </c>
      <c r="D127" s="11" t="s">
        <v>723</v>
      </c>
      <c r="E127" s="15" t="str">
        <f>IF(OR(Raw!D115="",LOWER(Raw!D115)="not available"),"Not Available",HYPERLINK(Raw!D115,"Maps"))</f>
        <v>Maps</v>
      </c>
      <c r="F127" s="16" t="s">
        <v>736</v>
      </c>
      <c r="G127" s="16" t="s">
        <v>33</v>
      </c>
      <c r="H127" s="16" t="s">
        <v>33</v>
      </c>
      <c r="I127" s="8" t="str">
        <f>IF(OR(Raw!K115="",LOWER(Raw!K115)="not available"),"Not Available",HYPERLINK(Raw!K115,"Instagram"))</f>
        <v>Not Available</v>
      </c>
      <c r="J127" s="8" t="str">
        <f>IF(OR(Raw!L115="",LOWER(Raw!L115)="not available"),"Not Available",HYPERLINK(Raw!L115,"Facebook"))</f>
        <v>Not Available</v>
      </c>
      <c r="K127" s="10">
        <v>4.9</v>
      </c>
      <c r="L127" s="10">
        <v>453.0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0">
        <v>127.0</v>
      </c>
      <c r="B128" s="10" t="s">
        <v>692</v>
      </c>
      <c r="C128" s="11" t="s">
        <v>59</v>
      </c>
      <c r="D128" s="11" t="s">
        <v>689</v>
      </c>
      <c r="E128" s="15" t="str">
        <f>IF(OR(Raw!D105="",LOWER(Raw!D105)="not available"),"Not Available",HYPERLINK(Raw!D105,"Maps"))</f>
        <v>Maps</v>
      </c>
      <c r="F128" s="16" t="s">
        <v>738</v>
      </c>
      <c r="G128" s="16" t="s">
        <v>693</v>
      </c>
      <c r="H128" s="28" t="s">
        <v>739</v>
      </c>
      <c r="I128" s="24" t="str">
        <f>IF(OR(Raw!K105="",LOWER(Raw!K105)="not available"),"Not Available",HYPERLINK(Raw!K105,"Instagram"))</f>
        <v>Instagram</v>
      </c>
      <c r="J128" s="24" t="str">
        <f>IF(OR(Raw!L105="",LOWER(Raw!L105)="not available"),"Not Available",HYPERLINK(Raw!L105,"Facebook"))</f>
        <v>Facebook</v>
      </c>
      <c r="K128" s="10">
        <v>4.4</v>
      </c>
      <c r="L128" s="10">
        <v>114.0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0">
        <v>128.0</v>
      </c>
      <c r="B129" s="10" t="s">
        <v>635</v>
      </c>
      <c r="C129" s="11" t="s">
        <v>157</v>
      </c>
      <c r="D129" s="11" t="s">
        <v>633</v>
      </c>
      <c r="E129" s="15" t="str">
        <f>IF(OR(Raw!D94="",LOWER(Raw!D94)="not available"),"Not Available",HYPERLINK(Raw!D94,"Maps"))</f>
        <v>Maps</v>
      </c>
      <c r="F129" s="16" t="s">
        <v>122</v>
      </c>
      <c r="G129" s="16" t="s">
        <v>33</v>
      </c>
      <c r="H129" s="28" t="s">
        <v>741</v>
      </c>
      <c r="I129" s="24" t="str">
        <f>IF(OR(Raw!K94="",LOWER(Raw!K94)="not available"),"Not Available",HYPERLINK(Raw!K94,"Instagram"))</f>
        <v>Instagram</v>
      </c>
      <c r="J129" s="24" t="str">
        <f>IF(OR(Raw!L94="",LOWER(Raw!L94)="not available"),"Not Available",HYPERLINK(Raw!L94,"Facebook"))</f>
        <v>Facebook</v>
      </c>
      <c r="K129" s="10">
        <v>4.7</v>
      </c>
      <c r="L129" s="10">
        <v>89.0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0">
        <v>129.0</v>
      </c>
      <c r="B130" s="10" t="s">
        <v>387</v>
      </c>
      <c r="C130" s="11" t="s">
        <v>151</v>
      </c>
      <c r="D130" s="11" t="s">
        <v>385</v>
      </c>
      <c r="E130" s="15" t="str">
        <f>IF(OR(Raw!D44="",LOWER(Raw!D44)="not available"),"Not Available",HYPERLINK(Raw!D44,"Maps"))</f>
        <v>Maps</v>
      </c>
      <c r="F130" s="16" t="s">
        <v>743</v>
      </c>
      <c r="G130" s="16" t="s">
        <v>33</v>
      </c>
      <c r="H130" s="16" t="s">
        <v>33</v>
      </c>
      <c r="I130" s="24" t="str">
        <f>IF(OR(Raw!K44="",LOWER(Raw!K44)="not available"),"Not Available",HYPERLINK(Raw!K44,"Instagram"))</f>
        <v>Instagram</v>
      </c>
      <c r="J130" s="24" t="str">
        <f>IF(OR(Raw!L44="",LOWER(Raw!L44)="not available"),"Not Available",HYPERLINK(Raw!L44,"Facebook"))</f>
        <v>Facebook</v>
      </c>
      <c r="K130" s="10">
        <v>4.3</v>
      </c>
      <c r="L130" s="10">
        <v>370.0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0">
        <v>130.0</v>
      </c>
      <c r="B131" s="10" t="s">
        <v>745</v>
      </c>
      <c r="C131" s="11" t="s">
        <v>105</v>
      </c>
      <c r="D131" s="11" t="s">
        <v>747</v>
      </c>
      <c r="E131" s="15" t="str">
        <f>IF(OR(Raw!D126="",LOWER(Raw!D126)="not available"),"Not Available",HYPERLINK(Raw!D126,"Maps"))</f>
        <v>Maps</v>
      </c>
      <c r="F131" s="16" t="s">
        <v>748</v>
      </c>
      <c r="G131" s="16" t="s">
        <v>33</v>
      </c>
      <c r="H131" s="16" t="s">
        <v>33</v>
      </c>
      <c r="I131" s="24" t="str">
        <f>IF(OR(Raw!K126="",LOWER(Raw!K126)="not available"),"Not Available",HYPERLINK(Raw!K126,"Instagram"))</f>
        <v>Instagram</v>
      </c>
      <c r="J131" s="8" t="str">
        <f>IF(OR(Raw!L126="",LOWER(Raw!L126)="not available"),"Not Available",HYPERLINK(Raw!L126,"Facebook"))</f>
        <v>Not Available</v>
      </c>
      <c r="K131" s="10">
        <v>3.4</v>
      </c>
      <c r="L131" s="10">
        <v>21.0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0">
        <v>131.0</v>
      </c>
      <c r="B132" s="10" t="s">
        <v>626</v>
      </c>
      <c r="C132" s="11" t="s">
        <v>157</v>
      </c>
      <c r="D132" s="11" t="s">
        <v>623</v>
      </c>
      <c r="E132" s="15" t="str">
        <f>IF(OR(Raw!D92="",LOWER(Raw!D92)="not available"),"Not Available",HYPERLINK(Raw!D92,"Maps"))</f>
        <v>Maps</v>
      </c>
      <c r="F132" s="16" t="s">
        <v>751</v>
      </c>
      <c r="G132" s="16" t="s">
        <v>33</v>
      </c>
      <c r="H132" s="16" t="s">
        <v>33</v>
      </c>
      <c r="I132" s="24" t="str">
        <f>IF(OR(Raw!K92="",LOWER(Raw!K92)="not available"),"Not Available",HYPERLINK(Raw!K92,"Instagram"))</f>
        <v>Instagram</v>
      </c>
      <c r="J132" s="24" t="str">
        <f>IF(OR(Raw!L92="",LOWER(Raw!L92)="not available"),"Not Available",HYPERLINK(Raw!L92,"Facebook"))</f>
        <v>Facebook</v>
      </c>
      <c r="K132" s="10">
        <v>4.8</v>
      </c>
      <c r="L132" s="10">
        <v>227.0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0">
        <v>132.0</v>
      </c>
      <c r="B133" s="10" t="s">
        <v>754</v>
      </c>
      <c r="C133" s="11" t="s">
        <v>267</v>
      </c>
      <c r="D133" s="11" t="s">
        <v>755</v>
      </c>
      <c r="E133" s="15" t="str">
        <f>IF(OR(Raw!D142="",LOWER(Raw!D142)="not available"),"Not Available",HYPERLINK(Raw!D142,"Maps"))</f>
        <v>Maps</v>
      </c>
      <c r="F133" s="16" t="s">
        <v>756</v>
      </c>
      <c r="G133" s="16" t="s">
        <v>33</v>
      </c>
      <c r="H133" s="16" t="s">
        <v>33</v>
      </c>
      <c r="I133" s="24" t="str">
        <f>IF(OR(Raw!K142="",LOWER(Raw!K142)="not available"),"Not Available",HYPERLINK(Raw!K142,"Instagram"))</f>
        <v>Instagram</v>
      </c>
      <c r="J133" s="24" t="str">
        <f>IF(OR(Raw!L142="",LOWER(Raw!L142)="not available"),"Not Available",HYPERLINK(Raw!L142,"Facebook"))</f>
        <v>Facebook</v>
      </c>
      <c r="K133" s="10">
        <v>4.8</v>
      </c>
      <c r="L133" s="10">
        <v>164.0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0">
        <v>133.0</v>
      </c>
      <c r="B134" s="10" t="s">
        <v>758</v>
      </c>
      <c r="C134" s="11" t="s">
        <v>190</v>
      </c>
      <c r="D134" s="11" t="s">
        <v>759</v>
      </c>
      <c r="E134" s="15" t="str">
        <f>IF(OR(Raw!D157="",LOWER(Raw!D157)="not available"),"Not Available",HYPERLINK(Raw!D157,"Maps"))</f>
        <v>Maps</v>
      </c>
      <c r="F134" s="16" t="s">
        <v>761</v>
      </c>
      <c r="G134" s="16" t="s">
        <v>33</v>
      </c>
      <c r="H134" s="16" t="s">
        <v>33</v>
      </c>
      <c r="I134" s="24" t="str">
        <f>IF(OR(Raw!K157="",LOWER(Raw!K157)="not available"),"Not Available",HYPERLINK(Raw!K157,"Instagram"))</f>
        <v>Instagram</v>
      </c>
      <c r="J134" s="24" t="str">
        <f>IF(OR(Raw!L157="",LOWER(Raw!L157)="not available"),"Not Available",HYPERLINK(Raw!L157,"Facebook"))</f>
        <v>Facebook</v>
      </c>
      <c r="K134" s="10">
        <v>4.7</v>
      </c>
      <c r="L134" s="10">
        <v>51.0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0">
        <v>134.0</v>
      </c>
      <c r="B135" s="10" t="s">
        <v>763</v>
      </c>
      <c r="C135" s="11" t="s">
        <v>267</v>
      </c>
      <c r="D135" s="11" t="s">
        <v>764</v>
      </c>
      <c r="E135" s="15" t="str">
        <f>IF(OR(Raw!D146="",LOWER(Raw!D146)="not available"),"Not Available",HYPERLINK(Raw!D146,"Maps"))</f>
        <v>Maps</v>
      </c>
      <c r="F135" s="16" t="s">
        <v>765</v>
      </c>
      <c r="G135" s="16" t="s">
        <v>33</v>
      </c>
      <c r="H135" s="16" t="s">
        <v>33</v>
      </c>
      <c r="I135" s="24" t="str">
        <f>IF(OR(Raw!K146="",LOWER(Raw!K146)="not available"),"Not Available",HYPERLINK(Raw!K146,"Instagram"))</f>
        <v>Instagram</v>
      </c>
      <c r="J135" s="24" t="str">
        <f>IF(OR(Raw!L146="",LOWER(Raw!L146)="not available"),"Not Available",HYPERLINK(Raw!L146,"Facebook"))</f>
        <v>Facebook</v>
      </c>
      <c r="K135" s="10">
        <v>4.5</v>
      </c>
      <c r="L135" s="10">
        <v>74.0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0">
        <v>135.0</v>
      </c>
      <c r="B136" s="10" t="s">
        <v>665</v>
      </c>
      <c r="C136" s="11" t="s">
        <v>59</v>
      </c>
      <c r="D136" s="11" t="s">
        <v>663</v>
      </c>
      <c r="E136" s="15" t="str">
        <f>IF(OR(Raw!D98="",LOWER(Raw!D98)="not available"),"Not Available",HYPERLINK(Raw!D98,"Maps"))</f>
        <v>Maps</v>
      </c>
      <c r="F136" s="16" t="s">
        <v>769</v>
      </c>
      <c r="G136" s="16" t="s">
        <v>33</v>
      </c>
      <c r="H136" s="16" t="s">
        <v>33</v>
      </c>
      <c r="I136" s="24" t="str">
        <f>IF(OR(Raw!K98="",LOWER(Raw!K98)="not available"),"Not Available",HYPERLINK(Raw!K98,"Instagram"))</f>
        <v>Instagram</v>
      </c>
      <c r="J136" s="24" t="str">
        <f>IF(OR(Raw!L98="",LOWER(Raw!L98)="not available"),"Not Available",HYPERLINK(Raw!L98,"Facebook"))</f>
        <v>Facebook</v>
      </c>
      <c r="K136" s="10">
        <v>4.9</v>
      </c>
      <c r="L136" s="10">
        <v>69.0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0">
        <v>136.0</v>
      </c>
      <c r="B137" s="10" t="s">
        <v>771</v>
      </c>
      <c r="C137" s="11" t="s">
        <v>411</v>
      </c>
      <c r="D137" s="11" t="s">
        <v>540</v>
      </c>
      <c r="E137" s="15" t="str">
        <f>IF(OR(Raw!D76="",LOWER(Raw!D76)="not available"),"Not Available",HYPERLINK(Raw!D76,"Maps"))</f>
        <v>Maps</v>
      </c>
      <c r="F137" s="16" t="s">
        <v>122</v>
      </c>
      <c r="G137" s="16" t="s">
        <v>33</v>
      </c>
      <c r="H137" s="16" t="s">
        <v>33</v>
      </c>
      <c r="I137" s="8" t="str">
        <f>IF(OR(Raw!K76="",LOWER(Raw!K76)="not available"),"Not Available",HYPERLINK(Raw!K76,"Instagram"))</f>
        <v>Not Available</v>
      </c>
      <c r="J137" s="8" t="str">
        <f>IF(OR(Raw!L76="",LOWER(Raw!L76)="not available"),"Not Available",HYPERLINK(Raw!L76,"Facebook"))</f>
        <v>Not Available</v>
      </c>
      <c r="K137" s="10">
        <v>4.7</v>
      </c>
      <c r="L137" s="10">
        <v>67.0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0">
        <v>137.0</v>
      </c>
      <c r="B138" s="26" t="s">
        <v>217</v>
      </c>
      <c r="C138" s="11" t="s">
        <v>75</v>
      </c>
      <c r="D138" s="11" t="s">
        <v>213</v>
      </c>
      <c r="E138" s="15" t="str">
        <f>IF(OR(Raw!D20="",LOWER(Raw!D20)="not available"),"Not Available",HYPERLINK(Raw!D20,"Maps"))</f>
        <v>Maps</v>
      </c>
      <c r="F138" s="16" t="s">
        <v>774</v>
      </c>
      <c r="G138" s="16" t="s">
        <v>33</v>
      </c>
      <c r="H138" s="16" t="s">
        <v>33</v>
      </c>
      <c r="I138" s="24" t="str">
        <f>IF(OR(Raw!K20="",LOWER(Raw!K20)="not available"),"Not Available",HYPERLINK(Raw!K20,"Instagram"))</f>
        <v>Instagram</v>
      </c>
      <c r="J138" s="24" t="str">
        <f>IF(OR(Raw!L20="",LOWER(Raw!L20)="not available"),"Not Available",HYPERLINK(Raw!L20,"Facebook"))</f>
        <v>Facebook</v>
      </c>
      <c r="K138" s="10">
        <v>4.5</v>
      </c>
      <c r="L138" s="10">
        <v>103.0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0">
        <v>138.0</v>
      </c>
      <c r="B139" s="10" t="s">
        <v>559</v>
      </c>
      <c r="C139" s="11" t="s">
        <v>82</v>
      </c>
      <c r="D139" s="11" t="s">
        <v>557</v>
      </c>
      <c r="E139" s="15" t="str">
        <f>IF(OR(Raw!D81="",LOWER(Raw!D81)="not available"),"Not Available",HYPERLINK(Raw!D81,"Maps"))</f>
        <v>Maps</v>
      </c>
      <c r="F139" s="16" t="s">
        <v>122</v>
      </c>
      <c r="G139" s="16" t="s">
        <v>33</v>
      </c>
      <c r="H139" s="16" t="s">
        <v>33</v>
      </c>
      <c r="I139" s="8" t="str">
        <f>IF(OR(Raw!K81="",LOWER(Raw!K81)="not available"),"Not Available",HYPERLINK(Raw!K81,"Instagram"))</f>
        <v>Not Available</v>
      </c>
      <c r="J139" s="8" t="str">
        <f>IF(OR(Raw!L81="",LOWER(Raw!L81)="not available"),"Not Available",HYPERLINK(Raw!L81,"Facebook"))</f>
        <v>Not Available</v>
      </c>
      <c r="K139" s="10">
        <v>4.8</v>
      </c>
      <c r="L139" s="10">
        <v>925.0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0">
        <v>139.0</v>
      </c>
      <c r="B140" s="26" t="s">
        <v>247</v>
      </c>
      <c r="C140" s="11" t="s">
        <v>68</v>
      </c>
      <c r="D140" s="11" t="s">
        <v>242</v>
      </c>
      <c r="E140" s="15" t="str">
        <f>IF(OR(Raw!D23="",LOWER(Raw!D23)="not available"),"Not Available",HYPERLINK(Raw!D23,"Maps"))</f>
        <v>Maps</v>
      </c>
      <c r="F140" s="16" t="s">
        <v>779</v>
      </c>
      <c r="G140" s="16" t="s">
        <v>248</v>
      </c>
      <c r="H140" s="28" t="s">
        <v>247</v>
      </c>
      <c r="I140" s="24" t="str">
        <f>IF(OR(Raw!K23="",LOWER(Raw!K23)="not available"),"Not Available",HYPERLINK(Raw!K23,"Instagram"))</f>
        <v>Instagram</v>
      </c>
      <c r="J140" s="24" t="str">
        <f>IF(OR(Raw!L23="",LOWER(Raw!L23)="not available"),"Not Available",HYPERLINK(Raw!L23,"Facebook"))</f>
        <v>Facebook</v>
      </c>
      <c r="K140" s="10">
        <v>4.9</v>
      </c>
      <c r="L140" s="10">
        <v>169.0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0">
        <v>140.0</v>
      </c>
      <c r="B141" s="10" t="s">
        <v>572</v>
      </c>
      <c r="C141" s="11" t="s">
        <v>82</v>
      </c>
      <c r="D141" s="11" t="s">
        <v>570</v>
      </c>
      <c r="E141" s="15" t="str">
        <f>IF(OR(Raw!D83="",LOWER(Raw!D83)="not available"),"Not Available",HYPERLINK(Raw!D83,"Maps"))</f>
        <v>Maps</v>
      </c>
      <c r="F141" s="16" t="s">
        <v>784</v>
      </c>
      <c r="G141" s="16" t="s">
        <v>64</v>
      </c>
      <c r="H141" s="28" t="s">
        <v>785</v>
      </c>
      <c r="I141" s="24" t="str">
        <f>IF(OR(Raw!K83="",LOWER(Raw!K83)="not available"),"Not Available",HYPERLINK(Raw!K83,"Instagram"))</f>
        <v>Instagram</v>
      </c>
      <c r="J141" s="24" t="str">
        <f>IF(OR(Raw!L83="",LOWER(Raw!L83)="not available"),"Not Available",HYPERLINK(Raw!L83,"Facebook"))</f>
        <v>Facebook</v>
      </c>
      <c r="K141" s="10">
        <v>4.8</v>
      </c>
      <c r="L141" s="10">
        <v>303.0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0">
        <v>141.0</v>
      </c>
      <c r="B142" s="10" t="s">
        <v>788</v>
      </c>
      <c r="C142" s="11" t="s">
        <v>35</v>
      </c>
      <c r="D142" s="11" t="s">
        <v>789</v>
      </c>
      <c r="E142" s="15" t="str">
        <f>IF(OR(Raw!D150="",LOWER(Raw!D150)="not available"),"Not Available",HYPERLINK(Raw!D150,"Maps"))</f>
        <v>Maps</v>
      </c>
      <c r="F142" s="16" t="s">
        <v>790</v>
      </c>
      <c r="G142" s="16" t="s">
        <v>64</v>
      </c>
      <c r="H142" s="28" t="s">
        <v>785</v>
      </c>
      <c r="I142" s="24" t="str">
        <f>IF(OR(Raw!K150="",LOWER(Raw!K150)="not available"),"Not Available",HYPERLINK(Raw!K150,"Instagram"))</f>
        <v>Instagram</v>
      </c>
      <c r="J142" s="24" t="str">
        <f>IF(OR(Raw!L150="",LOWER(Raw!L150)="not available"),"Not Available",HYPERLINK(Raw!L150,"Facebook"))</f>
        <v>Facebook</v>
      </c>
      <c r="K142" s="10">
        <v>4.4</v>
      </c>
      <c r="L142" s="10">
        <v>441.0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0">
        <v>142.0</v>
      </c>
      <c r="B143" s="26" t="s">
        <v>159</v>
      </c>
      <c r="C143" s="11" t="s">
        <v>75</v>
      </c>
      <c r="D143" s="11" t="s">
        <v>153</v>
      </c>
      <c r="E143" s="15" t="str">
        <f>IF(OR(Raw!D13="",LOWER(Raw!D13)="not available"),"Not Available",HYPERLINK(Raw!D13,"Maps"))</f>
        <v>Maps</v>
      </c>
      <c r="F143" s="16" t="s">
        <v>793</v>
      </c>
      <c r="G143" s="16" t="s">
        <v>64</v>
      </c>
      <c r="H143" s="28" t="s">
        <v>785</v>
      </c>
      <c r="I143" s="24" t="str">
        <f>IF(OR(Raw!K13="",LOWER(Raw!K13)="not available"),"Not Available",HYPERLINK(Raw!K13,"Instagram"))</f>
        <v>Instagram</v>
      </c>
      <c r="J143" s="24" t="str">
        <f>IF(OR(Raw!L13="",LOWER(Raw!L13)="not available"),"Not Available",HYPERLINK(Raw!L13,"Facebook"))</f>
        <v>Facebook</v>
      </c>
      <c r="K143" s="10">
        <v>4.9</v>
      </c>
      <c r="L143" s="10">
        <v>564.0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0">
        <v>143.0</v>
      </c>
      <c r="B144" s="10" t="s">
        <v>797</v>
      </c>
      <c r="C144" s="11" t="s">
        <v>52</v>
      </c>
      <c r="D144" s="11" t="s">
        <v>798</v>
      </c>
      <c r="E144" s="15" t="str">
        <f>IF(OR(Raw!D138="",LOWER(Raw!D138)="not available"),"Not Available",HYPERLINK(Raw!D138,"Maps"))</f>
        <v>Maps</v>
      </c>
      <c r="F144" s="16" t="s">
        <v>799</v>
      </c>
      <c r="G144" s="16" t="s">
        <v>64</v>
      </c>
      <c r="H144" s="28" t="s">
        <v>785</v>
      </c>
      <c r="I144" s="24" t="str">
        <f>IF(OR(Raw!K138="",LOWER(Raw!K138)="not available"),"Not Available",HYPERLINK(Raw!K138,"Instagram"))</f>
        <v>Instagram</v>
      </c>
      <c r="J144" s="24" t="str">
        <f>IF(OR(Raw!L138="",LOWER(Raw!L138)="not available"),"Not Available",HYPERLINK(Raw!L138,"Facebook"))</f>
        <v>Facebook</v>
      </c>
      <c r="K144" s="10">
        <v>4.5</v>
      </c>
      <c r="L144" s="10">
        <v>103.0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0">
        <v>144.0</v>
      </c>
      <c r="B145" s="10" t="s">
        <v>63</v>
      </c>
      <c r="C145" s="11" t="s">
        <v>28</v>
      </c>
      <c r="D145" s="11" t="s">
        <v>57</v>
      </c>
      <c r="E145" s="15" t="str">
        <f>IF(OR(Raw!D4="",LOWER(Raw!D4)="not available"),"Not Available",HYPERLINK(Raw!D4,"Maps"))</f>
        <v>Maps</v>
      </c>
      <c r="F145" s="16" t="s">
        <v>804</v>
      </c>
      <c r="G145" s="16" t="s">
        <v>64</v>
      </c>
      <c r="H145" s="28" t="s">
        <v>785</v>
      </c>
      <c r="I145" s="24" t="str">
        <f>IF(OR(Raw!K4="",LOWER(Raw!K4)="not available"),"Not Available",HYPERLINK(Raw!K4,"Instagram"))</f>
        <v>Instagram</v>
      </c>
      <c r="J145" s="24" t="str">
        <f>IF(OR(Raw!L4="",LOWER(Raw!L4)="not available"),"Not Available",HYPERLINK(Raw!L4,"Facebook"))</f>
        <v>Facebook</v>
      </c>
      <c r="K145" s="10">
        <v>4.9</v>
      </c>
      <c r="L145" s="10">
        <v>85.0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0">
        <v>145.0</v>
      </c>
      <c r="B146" s="10" t="s">
        <v>806</v>
      </c>
      <c r="C146" s="11" t="s">
        <v>117</v>
      </c>
      <c r="D146" s="11" t="s">
        <v>702</v>
      </c>
      <c r="E146" s="15" t="str">
        <f>IF(OR(Raw!D108="",LOWER(Raw!D108)="not available"),"Not Available",HYPERLINK(Raw!D108,"Maps"))</f>
        <v>Maps</v>
      </c>
      <c r="F146" s="16" t="s">
        <v>808</v>
      </c>
      <c r="G146" s="16" t="s">
        <v>33</v>
      </c>
      <c r="H146" s="16" t="s">
        <v>33</v>
      </c>
      <c r="I146" s="8" t="str">
        <f>IF(OR(Raw!K108="",LOWER(Raw!K108)="not available"),"Not Available",HYPERLINK(Raw!K108,"Instagram"))</f>
        <v>Not Available</v>
      </c>
      <c r="J146" s="8" t="str">
        <f>IF(OR(Raw!L108="",LOWER(Raw!L108)="not available"),"Not Available",HYPERLINK(Raw!L108,"Facebook"))</f>
        <v>Not Available</v>
      </c>
      <c r="K146" s="10">
        <v>4.7</v>
      </c>
      <c r="L146" s="10">
        <v>251.0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0">
        <v>146.0</v>
      </c>
      <c r="B147" s="10" t="s">
        <v>527</v>
      </c>
      <c r="C147" s="11" t="s">
        <v>35</v>
      </c>
      <c r="D147" s="11" t="s">
        <v>525</v>
      </c>
      <c r="E147" s="15" t="str">
        <f>IF(OR(Raw!D71="",LOWER(Raw!D71)="not available"),"Not Available",HYPERLINK(Raw!D71,"Maps"))</f>
        <v>Maps</v>
      </c>
      <c r="F147" s="16" t="s">
        <v>122</v>
      </c>
      <c r="G147" s="16" t="s">
        <v>33</v>
      </c>
      <c r="H147" s="16" t="s">
        <v>33</v>
      </c>
      <c r="I147" s="8" t="str">
        <f>IF(OR(Raw!K71="",LOWER(Raw!K71)="not available"),"Not Available",HYPERLINK(Raw!K71,"Instagram"))</f>
        <v>Not Available</v>
      </c>
      <c r="J147" s="8" t="str">
        <f>IF(OR(Raw!L71="",LOWER(Raw!L71)="not available"),"Not Available",HYPERLINK(Raw!L71,"Facebook"))</f>
        <v>Not Available</v>
      </c>
      <c r="K147" s="10">
        <v>5.0</v>
      </c>
      <c r="L147" s="10">
        <v>25.0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0">
        <v>147.0</v>
      </c>
      <c r="B148" s="10" t="s">
        <v>812</v>
      </c>
      <c r="C148" s="11" t="s">
        <v>190</v>
      </c>
      <c r="D148" s="11" t="s">
        <v>813</v>
      </c>
      <c r="E148" s="15" t="str">
        <f>IF(OR(Raw!D155="",LOWER(Raw!D155)="not available"),"Not Available",HYPERLINK(Raw!D155,"Maps"))</f>
        <v>Maps</v>
      </c>
      <c r="F148" s="16" t="s">
        <v>815</v>
      </c>
      <c r="G148" s="16" t="s">
        <v>33</v>
      </c>
      <c r="H148" s="16" t="s">
        <v>33</v>
      </c>
      <c r="I148" s="8" t="str">
        <f>IF(OR(Raw!K155="",LOWER(Raw!K155)="not available"),"Not Available",HYPERLINK(Raw!K155,"Instagram"))</f>
        <v>Not Available</v>
      </c>
      <c r="J148" s="8" t="str">
        <f>IF(OR(Raw!L155="",LOWER(Raw!L155)="not available"),"Not Available",HYPERLINK(Raw!L155,"Facebook"))</f>
        <v>Not Available</v>
      </c>
      <c r="K148" s="10">
        <v>4.9</v>
      </c>
      <c r="L148" s="10">
        <v>136.0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0">
        <v>148.0</v>
      </c>
      <c r="B149" s="10" t="s">
        <v>817</v>
      </c>
      <c r="C149" s="11" t="s">
        <v>267</v>
      </c>
      <c r="D149" s="11" t="s">
        <v>818</v>
      </c>
      <c r="E149" s="15" t="str">
        <f>IF(OR(Raw!D141="",LOWER(Raw!D141)="not available"),"Not Available",HYPERLINK(Raw!D141,"Maps"))</f>
        <v>Maps</v>
      </c>
      <c r="F149" s="16" t="s">
        <v>820</v>
      </c>
      <c r="G149" s="16" t="s">
        <v>33</v>
      </c>
      <c r="H149" s="16" t="s">
        <v>33</v>
      </c>
      <c r="I149" s="8" t="str">
        <f>IF(OR(Raw!K141="",LOWER(Raw!K141)="not available"),"Not Available",HYPERLINK(Raw!K141,"Instagram"))</f>
        <v>Not Available</v>
      </c>
      <c r="J149" s="8" t="str">
        <f>IF(OR(Raw!L141="",LOWER(Raw!L141)="not available"),"Not Available",HYPERLINK(Raw!L141,"Facebook"))</f>
        <v>Not Available</v>
      </c>
      <c r="K149" s="10">
        <v>4.8</v>
      </c>
      <c r="L149" s="10">
        <v>685.0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0">
        <v>149.0</v>
      </c>
      <c r="B150" s="10" t="s">
        <v>800</v>
      </c>
      <c r="C150" s="11" t="s">
        <v>52</v>
      </c>
      <c r="D150" s="11" t="s">
        <v>795</v>
      </c>
      <c r="E150" s="15" t="str">
        <f>IF(OR(Raw!D133="",LOWER(Raw!D133)="not available"),"Not Available",HYPERLINK(Raw!D133,"Maps"))</f>
        <v>Maps</v>
      </c>
      <c r="F150" s="16" t="s">
        <v>823</v>
      </c>
      <c r="G150" s="16" t="s">
        <v>33</v>
      </c>
      <c r="H150" s="33" t="s">
        <v>33</v>
      </c>
      <c r="I150" s="24" t="str">
        <f>IF(OR(Raw!K133="",LOWER(Raw!K133)="not available"),"Not Available",HYPERLINK(Raw!K133,"Instagram"))</f>
        <v>Instagram</v>
      </c>
      <c r="J150" s="24" t="str">
        <f>IF(OR(Raw!L133="",LOWER(Raw!L133)="not available"),"Not Available",HYPERLINK(Raw!L133,"Facebook"))</f>
        <v>Facebook</v>
      </c>
      <c r="K150" s="10">
        <v>4.6</v>
      </c>
      <c r="L150" s="10">
        <v>734.0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0">
        <v>150.0</v>
      </c>
      <c r="B151" s="10" t="s">
        <v>782</v>
      </c>
      <c r="C151" s="11" t="s">
        <v>52</v>
      </c>
      <c r="D151" s="11" t="s">
        <v>780</v>
      </c>
      <c r="E151" s="15" t="str">
        <f>IF(OR(Raw!D131="",LOWER(Raw!D131)="not available"),"Not Available",HYPERLINK(Raw!D131,"Maps"))</f>
        <v>Maps</v>
      </c>
      <c r="F151" s="16" t="s">
        <v>826</v>
      </c>
      <c r="G151" s="16" t="s">
        <v>33</v>
      </c>
      <c r="H151" s="31" t="s">
        <v>33</v>
      </c>
      <c r="I151" s="24" t="str">
        <f>IF(OR(Raw!K131="",LOWER(Raw!K131)="not available"),"Not Available",HYPERLINK(Raw!K131,"Instagram"))</f>
        <v>Instagram</v>
      </c>
      <c r="J151" s="24" t="str">
        <f>IF(OR(Raw!L131="",LOWER(Raw!L131)="not available"),"Not Available",HYPERLINK(Raw!L131,"Facebook"))</f>
        <v>Facebook</v>
      </c>
      <c r="K151" s="10">
        <v>4.8</v>
      </c>
      <c r="L151" s="10">
        <v>1066.0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0">
        <v>151.0</v>
      </c>
      <c r="B152" s="10" t="s">
        <v>649</v>
      </c>
      <c r="C152" s="11" t="s">
        <v>373</v>
      </c>
      <c r="D152" s="11" t="s">
        <v>646</v>
      </c>
      <c r="E152" s="15" t="str">
        <f>IF(OR(Raw!D96="",LOWER(Raw!D96)="not available"),"Not Available",HYPERLINK(Raw!D96,"Maps"))</f>
        <v>Maps</v>
      </c>
      <c r="F152" s="16" t="s">
        <v>828</v>
      </c>
      <c r="G152" s="16" t="s">
        <v>33</v>
      </c>
      <c r="H152" s="16" t="s">
        <v>33</v>
      </c>
      <c r="I152" s="24" t="str">
        <f>IF(OR(Raw!K96="",LOWER(Raw!K96)="not available"),"Not Available",HYPERLINK(Raw!K96,"Instagram"))</f>
        <v>Instagram</v>
      </c>
      <c r="J152" s="24" t="str">
        <f>IF(OR(Raw!L96="",LOWER(Raw!L96)="not available"),"Not Available",HYPERLINK(Raw!L96,"Facebook"))</f>
        <v>Facebook</v>
      </c>
      <c r="K152" s="10">
        <v>4.6</v>
      </c>
      <c r="L152" s="10">
        <v>95.0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0">
        <v>152.0</v>
      </c>
      <c r="B153" s="26" t="s">
        <v>194</v>
      </c>
      <c r="C153" s="11" t="s">
        <v>75</v>
      </c>
      <c r="D153" s="11" t="s">
        <v>188</v>
      </c>
      <c r="E153" s="15" t="str">
        <f>IF(OR(Raw!D17="",LOWER(Raw!D17)="not available"),"Not Available",HYPERLINK(Raw!D17,"Maps"))</f>
        <v>Maps</v>
      </c>
      <c r="F153" s="16" t="s">
        <v>831</v>
      </c>
      <c r="G153" s="16" t="s">
        <v>33</v>
      </c>
      <c r="H153" s="16" t="s">
        <v>33</v>
      </c>
      <c r="I153" s="24" t="str">
        <f>IF(OR(Raw!K17="",LOWER(Raw!K17)="not available"),"Not Available",HYPERLINK(Raw!K17,"Instagram"))</f>
        <v>Instagram</v>
      </c>
      <c r="J153" s="24" t="str">
        <f>IF(OR(Raw!L17="",LOWER(Raw!L17)="not available"),"Not Available",HYPERLINK(Raw!L17,"Facebook"))</f>
        <v>Facebook</v>
      </c>
      <c r="K153" s="10">
        <v>4.7</v>
      </c>
      <c r="L153" s="10">
        <v>862.0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0">
        <v>153.0</v>
      </c>
      <c r="B154" s="10" t="s">
        <v>458</v>
      </c>
      <c r="C154" s="11" t="s">
        <v>43</v>
      </c>
      <c r="D154" s="11" t="s">
        <v>456</v>
      </c>
      <c r="E154" s="15" t="str">
        <f>IF(OR(Raw!D55="",LOWER(Raw!D55)="not available"),"Not Available",HYPERLINK(Raw!D55,"Maps"))</f>
        <v>Maps</v>
      </c>
      <c r="F154" s="16" t="s">
        <v>122</v>
      </c>
      <c r="G154" s="16" t="s">
        <v>33</v>
      </c>
      <c r="H154" s="16" t="s">
        <v>33</v>
      </c>
      <c r="I154" s="8" t="str">
        <f>IF(OR(Raw!K55="",LOWER(Raw!K55)="not available"),"Not Available",HYPERLINK(Raw!K55,"Instagram"))</f>
        <v>Not Available</v>
      </c>
      <c r="J154" s="8" t="str">
        <f>IF(OR(Raw!L55="",LOWER(Raw!L55)="not available"),"Not Available",HYPERLINK(Raw!L55,"Facebook"))</f>
        <v>Not Available</v>
      </c>
      <c r="K154" s="10">
        <v>4.7</v>
      </c>
      <c r="L154" s="10">
        <v>47.0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0">
        <v>154.0</v>
      </c>
      <c r="B155" s="10" t="s">
        <v>707</v>
      </c>
      <c r="C155" s="11" t="s">
        <v>117</v>
      </c>
      <c r="D155" s="11" t="s">
        <v>705</v>
      </c>
      <c r="E155" s="15" t="str">
        <f>IF(OR(Raw!D109="",LOWER(Raw!D109)="not available"),"Not Available",HYPERLINK(Raw!D109,"Maps"))</f>
        <v>Maps</v>
      </c>
      <c r="F155" s="16" t="s">
        <v>835</v>
      </c>
      <c r="G155" s="16" t="s">
        <v>33</v>
      </c>
      <c r="H155" s="16" t="s">
        <v>33</v>
      </c>
      <c r="I155" s="8" t="str">
        <f>IF(OR(Raw!K109="",LOWER(Raw!K109)="not available"),"Not Available",HYPERLINK(Raw!K109,"Instagram"))</f>
        <v>Not Available</v>
      </c>
      <c r="J155" s="8" t="str">
        <f>IF(OR(Raw!L109="",LOWER(Raw!L109)="not available"),"Not Available",HYPERLINK(Raw!L109,"Facebook"))</f>
        <v>Not Available</v>
      </c>
      <c r="K155" s="10">
        <v>5.0</v>
      </c>
      <c r="L155" s="10">
        <v>20.0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0">
        <v>155.0</v>
      </c>
      <c r="B156" s="26" t="s">
        <v>287</v>
      </c>
      <c r="C156" s="11" t="s">
        <v>68</v>
      </c>
      <c r="D156" s="11" t="s">
        <v>285</v>
      </c>
      <c r="E156" s="15" t="str">
        <f>IF(OR(Raw!D27="",LOWER(Raw!D27)="not available"),"Not Available",HYPERLINK(Raw!D27,"Maps"))</f>
        <v>Maps</v>
      </c>
      <c r="F156" s="16" t="s">
        <v>837</v>
      </c>
      <c r="G156" s="16" t="s">
        <v>33</v>
      </c>
      <c r="H156" s="16" t="s">
        <v>33</v>
      </c>
      <c r="I156" s="24" t="str">
        <f>IF(OR(Raw!K27="",LOWER(Raw!K27)="not available"),"Not Available",HYPERLINK(Raw!K27,"Instagram"))</f>
        <v>Instagram</v>
      </c>
      <c r="J156" s="24" t="str">
        <f>IF(OR(Raw!L27="",LOWER(Raw!L27)="not available"),"Not Available",HYPERLINK(Raw!L27,"Facebook"))</f>
        <v>Facebook</v>
      </c>
      <c r="K156" s="10">
        <v>4.9</v>
      </c>
      <c r="L156" s="10">
        <v>188.0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0">
        <v>156.0</v>
      </c>
      <c r="B157" s="10" t="s">
        <v>78</v>
      </c>
      <c r="C157" s="11" t="s">
        <v>28</v>
      </c>
      <c r="D157" s="11" t="s">
        <v>72</v>
      </c>
      <c r="E157" s="15" t="str">
        <f>IF(OR(Raw!D5="",LOWER(Raw!D5)="not available"),"Not Available",HYPERLINK(Raw!D5,"Maps"))</f>
        <v>Maps</v>
      </c>
      <c r="F157" s="16" t="s">
        <v>841</v>
      </c>
      <c r="G157" s="16" t="s">
        <v>79</v>
      </c>
      <c r="H157" s="28" t="s">
        <v>78</v>
      </c>
      <c r="I157" s="24" t="str">
        <f>IF(OR(Raw!K5="",LOWER(Raw!K5)="not available"),"Not Available",HYPERLINK(Raw!K5,"Instagram"))</f>
        <v>Instagram</v>
      </c>
      <c r="J157" s="8" t="str">
        <f>IF(OR(Raw!L5="",LOWER(Raw!L5)="not available"),"Not Available",HYPERLINK(Raw!L5,"Facebook"))</f>
        <v>Not Available</v>
      </c>
      <c r="K157" s="10">
        <v>4.7</v>
      </c>
      <c r="L157" s="10">
        <v>122.0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  <row r="11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</row>
    <row r="1126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</row>
    <row r="1127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</row>
    <row r="1128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</row>
    <row r="1129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</row>
    <row r="1130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</row>
    <row r="113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</row>
    <row r="113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</row>
    <row r="113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</row>
    <row r="113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</row>
    <row r="113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</row>
    <row r="1136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</row>
    <row r="1137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</row>
    <row r="1138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</row>
    <row r="1139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</row>
    <row r="1140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</row>
    <row r="114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</row>
    <row r="114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</row>
    <row r="114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</row>
    <row r="114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</row>
    <row r="114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</row>
    <row r="1146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</row>
    <row r="1147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</row>
    <row r="1148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</row>
    <row r="1149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</row>
    <row r="1150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</row>
    <row r="115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</row>
    <row r="115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</row>
    <row r="115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</row>
    <row r="115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</row>
    <row r="115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</row>
    <row r="1156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</row>
    <row r="1157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</row>
    <row r="1158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</row>
    <row r="1159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</row>
    <row r="1160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</row>
    <row r="116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</row>
    <row r="116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</row>
    <row r="116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</row>
    <row r="116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</row>
    <row r="116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</row>
    <row r="1166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</row>
    <row r="1167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</row>
    <row r="1168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</row>
    <row r="1169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</row>
    <row r="1170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</row>
    <row r="117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</row>
    <row r="1172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</row>
    <row r="1173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</row>
    <row r="1174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</row>
    <row r="117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</row>
    <row r="1176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</row>
    <row r="1177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</row>
    <row r="1178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</row>
    <row r="1179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</row>
    <row r="1180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</row>
    <row r="118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</row>
    <row r="1182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</row>
    <row r="1183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</row>
    <row r="1184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</row>
    <row r="118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</row>
    <row r="1186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</row>
    <row r="1187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</row>
    <row r="1188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</row>
    <row r="1189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</row>
    <row r="1190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</row>
    <row r="119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</row>
    <row r="1192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</row>
    <row r="1193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</row>
    <row r="1194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</row>
    <row r="119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</row>
    <row r="1196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</row>
    <row r="1197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</row>
    <row r="1198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</row>
    <row r="1199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</row>
    <row r="1200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</row>
    <row r="120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</row>
    <row r="1202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</row>
    <row r="1203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</row>
    <row r="1204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</row>
    <row r="120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</row>
    <row r="1206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</row>
    <row r="1207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</row>
    <row r="1208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</row>
    <row r="1209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</row>
    <row r="1210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</row>
    <row r="121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</row>
    <row r="1212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</row>
    <row r="1213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</row>
    <row r="1214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</row>
    <row r="121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</row>
    <row r="1216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</row>
    <row r="1217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</row>
    <row r="1218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</row>
    <row r="1219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</row>
    <row r="1220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</row>
    <row r="122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</row>
    <row r="1222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</row>
    <row r="1223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</row>
    <row r="1224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</row>
    <row r="12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</row>
    <row r="1226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</row>
    <row r="1227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</row>
    <row r="1228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</row>
    <row r="1229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</row>
    <row r="1230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</row>
    <row r="123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</row>
    <row r="1232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</row>
    <row r="1233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</row>
    <row r="1234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</row>
    <row r="123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</row>
    <row r="1236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</row>
    <row r="1237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</row>
    <row r="1238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</row>
    <row r="1239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</row>
    <row r="1240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</row>
    <row r="124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</row>
    <row r="1242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</row>
    <row r="1243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</row>
    <row r="1244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</row>
    <row r="124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</row>
    <row r="1246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</row>
    <row r="1247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</row>
    <row r="1248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</row>
    <row r="1249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</row>
    <row r="1250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</row>
    <row r="125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</row>
    <row r="1252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</row>
    <row r="1253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</row>
    <row r="1254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</row>
    <row r="125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</row>
    <row r="1256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</row>
    <row r="1257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</row>
    <row r="1258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</row>
    <row r="1259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</row>
    <row r="1260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</row>
    <row r="126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</row>
    <row r="1262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</row>
    <row r="1263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</row>
    <row r="1264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</row>
    <row r="126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</row>
    <row r="1266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</row>
    <row r="1267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</row>
    <row r="1268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</row>
    <row r="1269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</row>
    <row r="1270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</row>
    <row r="127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</row>
    <row r="1272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</row>
    <row r="1273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</row>
    <row r="1274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</row>
    <row r="127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</row>
    <row r="1276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</row>
    <row r="1277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</row>
    <row r="1278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</row>
    <row r="1279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</row>
    <row r="1280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</row>
    <row r="128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</row>
    <row r="1282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</row>
    <row r="1283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</row>
    <row r="1284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</row>
    <row r="128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</row>
    <row r="1286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</row>
    <row r="1287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</row>
    <row r="1288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</row>
    <row r="1289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</row>
    <row r="1290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</row>
    <row r="1291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</row>
    <row r="1292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</row>
    <row r="1293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</row>
    <row r="1294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</row>
    <row r="129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</row>
    <row r="1296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</row>
    <row r="1297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</row>
    <row r="1298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</row>
    <row r="1299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</row>
    <row r="1300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</row>
    <row r="1301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</row>
    <row r="1302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</row>
    <row r="1303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</row>
    <row r="1304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</row>
    <row r="130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</row>
    <row r="1306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</row>
    <row r="1307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</row>
    <row r="1308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</row>
    <row r="1309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</row>
    <row r="1310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</row>
    <row r="1311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</row>
    <row r="1312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</row>
    <row r="1313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</row>
    <row r="1314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</row>
    <row r="131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</row>
    <row r="1316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</row>
    <row r="1317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</row>
    <row r="1318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</row>
    <row r="1319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</row>
    <row r="1320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</row>
    <row r="1321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</row>
    <row r="1322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</row>
    <row r="1323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</row>
    <row r="1324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</row>
    <row r="13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</row>
    <row r="1326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</row>
    <row r="1327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</row>
    <row r="1328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</row>
    <row r="1329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</row>
    <row r="1330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</row>
    <row r="1331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</row>
    <row r="1332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</row>
    <row r="1333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</row>
    <row r="1334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</row>
    <row r="133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</row>
    <row r="1336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</row>
    <row r="1337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</row>
    <row r="1338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</row>
    <row r="1339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</row>
    <row r="1340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</row>
    <row r="134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</row>
    <row r="1342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</row>
    <row r="1343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</row>
    <row r="1344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</row>
    <row r="134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</row>
    <row r="1346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</row>
    <row r="1347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</row>
    <row r="1348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</row>
    <row r="1349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</row>
    <row r="1350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</row>
    <row r="1351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</row>
    <row r="1352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</row>
    <row r="1353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</row>
    <row r="1354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</row>
    <row r="135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</row>
    <row r="1356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</row>
    <row r="1357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</row>
    <row r="1358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</row>
    <row r="1359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</row>
    <row r="1360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</row>
    <row r="1361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</row>
    <row r="1362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</row>
    <row r="1363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</row>
    <row r="1364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</row>
    <row r="136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</row>
    <row r="1366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</row>
    <row r="1367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</row>
    <row r="1368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</row>
    <row r="1369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</row>
    <row r="1370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</row>
    <row r="1371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</row>
    <row r="1372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</row>
    <row r="1373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</row>
    <row r="1374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</row>
    <row r="137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</row>
    <row r="1376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</row>
    <row r="1377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</row>
    <row r="1378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</row>
    <row r="1379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</row>
    <row r="1380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</row>
    <row r="1381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</row>
    <row r="1382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</row>
    <row r="1383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</row>
    <row r="1384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</row>
    <row r="138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</row>
    <row r="1386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</row>
    <row r="1387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</row>
    <row r="1388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</row>
    <row r="1389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</row>
    <row r="1390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</row>
    <row r="1391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</row>
    <row r="1392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</row>
    <row r="1393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</row>
    <row r="1394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</row>
    <row r="139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</row>
    <row r="1396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</row>
    <row r="1397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</row>
    <row r="1398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</row>
    <row r="1399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</row>
    <row r="1400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</row>
    <row r="1401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</row>
    <row r="1402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</row>
    <row r="1403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</row>
    <row r="1404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</row>
    <row r="140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</row>
    <row r="1406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</row>
    <row r="1407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</row>
    <row r="1408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</row>
    <row r="1409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</row>
    <row r="1410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</row>
    <row r="1411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</row>
    <row r="1412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</row>
    <row r="1413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</row>
    <row r="1414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</row>
    <row r="141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</row>
    <row r="1416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</row>
    <row r="1417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</row>
    <row r="1418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</row>
    <row r="1419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</row>
    <row r="1420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</row>
    <row r="1421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</row>
    <row r="1422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</row>
    <row r="1423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</row>
    <row r="1424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</row>
    <row r="14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</row>
    <row r="1426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</row>
    <row r="1427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</row>
    <row r="1428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</row>
    <row r="1429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</row>
    <row r="1430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</row>
    <row r="1431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</row>
    <row r="1432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</row>
    <row r="1433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</row>
    <row r="1434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</row>
    <row r="143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</row>
    <row r="1436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</row>
    <row r="1437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</row>
    <row r="1438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</row>
    <row r="1439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</row>
    <row r="1440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</row>
    <row r="1441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</row>
    <row r="1442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</row>
    <row r="1443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</row>
    <row r="1444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</row>
    <row r="144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</row>
    <row r="1446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</row>
    <row r="1447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</row>
    <row r="1448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</row>
    <row r="1449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</row>
    <row r="1450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</row>
    <row r="1451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</row>
    <row r="1452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</row>
    <row r="1453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</row>
    <row r="1454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</row>
    <row r="145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</row>
    <row r="1456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</row>
    <row r="1457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</row>
    <row r="1458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</row>
    <row r="1459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</row>
    <row r="1460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</row>
    <row r="1461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</row>
    <row r="1462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</row>
    <row r="1463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</row>
    <row r="1464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</row>
    <row r="146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</row>
    <row r="1466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</row>
    <row r="1467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</row>
    <row r="1468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</row>
    <row r="1469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</row>
    <row r="1470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</row>
    <row r="1471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</row>
    <row r="1472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</row>
    <row r="1473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</row>
    <row r="1474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</row>
    <row r="147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</row>
    <row r="1476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</row>
    <row r="1477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</row>
    <row r="1478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</row>
    <row r="1479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</row>
    <row r="1480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</row>
    <row r="1481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</row>
    <row r="1482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</row>
    <row r="1483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</row>
    <row r="1484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</row>
    <row r="148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</row>
    <row r="1486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</row>
    <row r="1487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</row>
    <row r="1488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</row>
    <row r="1489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</row>
    <row r="1490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</row>
    <row r="1491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</row>
    <row r="1492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</row>
    <row r="1493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</row>
    <row r="1494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</row>
    <row r="149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</row>
    <row r="1496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</row>
    <row r="1497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</row>
    <row r="1498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</row>
    <row r="1499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</row>
    <row r="1500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</row>
    <row r="150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</row>
  </sheetData>
  <hyperlinks>
    <hyperlink r:id="rId1" ref="A1"/>
    <hyperlink r:id="rId2" ref="H9"/>
    <hyperlink r:id="rId3" ref="H16"/>
    <hyperlink r:id="rId4" ref="H22"/>
    <hyperlink r:id="rId5" ref="H32"/>
    <hyperlink r:id="rId6" ref="H41"/>
    <hyperlink r:id="rId7" ref="H51"/>
    <hyperlink r:id="rId8" ref="H52"/>
    <hyperlink r:id="rId9" ref="H67"/>
    <hyperlink r:id="rId10" ref="H68"/>
    <hyperlink r:id="rId11" ref="H69"/>
    <hyperlink r:id="rId12" ref="H82"/>
    <hyperlink r:id="rId13" ref="H85"/>
    <hyperlink r:id="rId14" ref="H88"/>
    <hyperlink r:id="rId15" ref="H95"/>
    <hyperlink r:id="rId16" ref="H96"/>
    <hyperlink r:id="rId17" ref="H122"/>
    <hyperlink r:id="rId18" ref="H128"/>
    <hyperlink r:id="rId19" ref="H129"/>
    <hyperlink r:id="rId20" ref="H140"/>
    <hyperlink r:id="rId21" ref="H141"/>
    <hyperlink r:id="rId22" ref="H142"/>
    <hyperlink r:id="rId23" ref="H143"/>
    <hyperlink r:id="rId24" ref="H144"/>
    <hyperlink r:id="rId25" ref="H145"/>
    <hyperlink r:id="rId26" ref="H157"/>
  </hyperlinks>
  <drawing r:id="rId27"/>
</worksheet>
</file>