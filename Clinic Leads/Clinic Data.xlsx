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Raw" sheetId="2" r:id="rId6"/>
    <sheet state="visible" name="Cleaning" sheetId="3" r:id="rId7"/>
    <sheet state="visible" name="Cleaned" sheetId="4" r:id="rId8"/>
    <sheet state="visible" name="Clinic Data" sheetId="5" r:id="rId9"/>
    <sheet state="visible" name="Analysis" sheetId="6" r:id="rId10"/>
  </sheets>
  <definedNames/>
  <calcPr/>
</workbook>
</file>

<file path=xl/sharedStrings.xml><?xml version="1.0" encoding="utf-8"?>
<sst xmlns="http://schemas.openxmlformats.org/spreadsheetml/2006/main" count="4929" uniqueCount="911">
  <si>
    <t>Clinic Data Analysis (Navi Mumbai)</t>
  </si>
  <si>
    <t>hfpxzc href</t>
  </si>
  <si>
    <t>Website</t>
  </si>
  <si>
    <t>xxVWCe</t>
  </si>
  <si>
    <t>MW4etd</t>
  </si>
  <si>
    <t>UY7F9</t>
  </si>
  <si>
    <t>W4Efsd</t>
  </si>
  <si>
    <t>W4Efsd 2</t>
  </si>
  <si>
    <t>Clinic Names</t>
  </si>
  <si>
    <t>W4Efsd 3</t>
  </si>
  <si>
    <t>W4Efsd 4</t>
  </si>
  <si>
    <t>Instagram</t>
  </si>
  <si>
    <t>W4Efsd 5</t>
  </si>
  <si>
    <t>Google Maps</t>
  </si>
  <si>
    <t>W4Efsd 6</t>
  </si>
  <si>
    <t>Rating</t>
  </si>
  <si>
    <t>UsdlK</t>
  </si>
  <si>
    <t>Reviews</t>
  </si>
  <si>
    <t>Cw1rxd</t>
  </si>
  <si>
    <t>Specialization</t>
  </si>
  <si>
    <t>R8c4Qb</t>
  </si>
  <si>
    <t>Location</t>
  </si>
  <si>
    <t>Jn12ke src</t>
  </si>
  <si>
    <t>Contact</t>
  </si>
  <si>
    <t>ah5Ghc</t>
  </si>
  <si>
    <t>Remark 1</t>
  </si>
  <si>
    <t>doJOZc</t>
  </si>
  <si>
    <t>Remark 2</t>
  </si>
  <si>
    <t>lcr4fd href</t>
  </si>
  <si>
    <t>Remarks</t>
  </si>
  <si>
    <t>Cw1rxd 2</t>
  </si>
  <si>
    <t>R8c4Qb 2</t>
  </si>
  <si>
    <t>http://www.360homeocareclinic.com/</t>
  </si>
  <si>
    <t>W4Efsd 7</t>
  </si>
  <si>
    <t>ah5Ghc 2</t>
  </si>
  <si>
    <t>ah5Ghc 3</t>
  </si>
  <si>
    <t>https://www.google.com/maps/place/Family+Care+Clinic+Nerul+Navi+Mumbai/data=!4m7!3m6!1s0x3be7c3c934900977:0x57d39a810a8d346!8m2!3d19.0396026!4d73.017636!16s%2Fg%2F11vm7jbkdb!19sChIJdwmQNMnD5zsRRtOoEKg5fQU?authuser=0&amp;hl=en&amp;rclk=1</t>
  </si>
  <si>
    <t>The Excel file contains 6 sheets.</t>
  </si>
  <si>
    <t>The data required for outreach is in "Clinic Data".</t>
  </si>
  <si>
    <t>The findings/data analysis were added in the "Analysis" sheet.</t>
  </si>
  <si>
    <t>360 HOMEO CARE CLINIC</t>
  </si>
  <si>
    <r>
      <rPr>
        <rFont val="Arial"/>
        <color theme="1"/>
        <sz val="13.0"/>
      </rPr>
      <t xml:space="preserve">The Clinic Data sheet contains </t>
    </r>
    <r>
      <rPr>
        <rFont val="Arial"/>
        <b/>
        <color theme="1"/>
        <sz val="13.0"/>
      </rPr>
      <t xml:space="preserve">"13 rows" </t>
    </r>
    <r>
      <rPr>
        <rFont val="Arial"/>
        <color theme="1"/>
        <sz val="13.0"/>
      </rPr>
      <t>and</t>
    </r>
    <r>
      <rPr>
        <rFont val="Arial"/>
        <b/>
        <color theme="1"/>
        <sz val="13.0"/>
      </rPr>
      <t xml:space="preserve"> "120 columns"</t>
    </r>
    <r>
      <rPr>
        <rFont val="Arial"/>
        <color theme="1"/>
        <sz val="13.0"/>
      </rPr>
      <t>.</t>
    </r>
  </si>
  <si>
    <t>Not Found</t>
  </si>
  <si>
    <t>https://www.google.com/maps/place/360+HOMEO+CARE+CLINIC/data=!4m7!3m6!1s0x3be7c3bbdb4eb027:0x9e0cb6fa5c230ae6!8m2!3d19.0233747!4d73.0248128!16s%2Fg%2F11cmcb1kz9!19sChIJJ7BO27vD5zsR5gojXPq2DJ4?authuser=0&amp;hl=en&amp;rclk=1</t>
  </si>
  <si>
    <t>The data was collected from open resources through Google.</t>
  </si>
  <si>
    <t>The original dataset contained several impurities and inconsistencies:</t>
  </si>
  <si>
    <t xml:space="preserve"> </t>
  </si>
  <si>
    <t>Unnecessary columns were identified and dropped using Excel and Python libraries.</t>
  </si>
  <si>
    <t>Lead classification was based on available details such as: Website availability, Instagram availability and Contact availability</t>
  </si>
  <si>
    <t>Family Care Clinic Nerul Navi Mumbai</t>
  </si>
  <si>
    <t>Analysis And Report</t>
  </si>
  <si>
    <t>Medical clinic</t>
  </si>
  <si>
    <t>·</t>
  </si>
  <si>
    <t>e1/2, Vrindavan apartment, A-4, near Sai baba hotel</t>
  </si>
  <si>
    <t>Open</t>
  </si>
  <si>
    <t>Many clinics have limited online visibility, with a lack of proper websites and digital presence.</t>
  </si>
  <si>
    <t>· Closes 10 PM</t>
  </si>
  <si>
    <t>Most clinics have available contact details, creating better chances for sales outreach.</t>
  </si>
  <si>
    <t>+91 87793 87362</t>
  </si>
  <si>
    <t></t>
  </si>
  <si>
    <r>
      <rPr>
        <rFont val="Arial"/>
        <color theme="1"/>
        <sz val="13.0"/>
      </rPr>
      <t xml:space="preserve">Majority of clinics belong to: </t>
    </r>
    <r>
      <rPr>
        <rFont val="Arial"/>
        <b/>
        <color theme="1"/>
        <sz val="13.0"/>
      </rPr>
      <t>Medical, Skincare, Dental, Derma and Ayurveda categories</t>
    </r>
  </si>
  <si>
    <t>Directions</t>
  </si>
  <si>
    <t>Shop No. 3, Ganpati Complex, Plot No. 105</t>
  </si>
  <si>
    <t>https://ssl.gstatic.com/local/servicebusiness/default_user.png</t>
  </si>
  <si>
    <t xml:space="preserve">Clinics without websites or Instagram have high potential. </t>
  </si>
  <si>
    <t xml:space="preserve">However, clinics that already have them may also need improvements, </t>
  </si>
  <si>
    <t>as only their availability was checked, not their quality, activity, or engagement.</t>
  </si>
  <si>
    <t>"A rare combination of expertise, compassion, and genuine care."</t>
  </si>
  <si>
    <t>https://www.google.com/maps/place/Family+Health+Clinic/data=!4m7!3m6!1s0x3be7c3751b6a4f49:0x64c685205b2a7c4c!8m2!3d19.0311396!4d73.0268152!16s%2Fg%2F11t6n7_wh9!19sChIJSU9qG3XD5zsRTHwqWyCFxmQ?authuser=0&amp;hl=en&amp;rclk=1</t>
  </si>
  <si>
    <t>https://naneshhospital.com/</t>
  </si>
  <si>
    <t>Opportunity</t>
  </si>
  <si>
    <t>Category</t>
  </si>
  <si>
    <t>Family Health Clinic</t>
  </si>
  <si>
    <t>Acharya Shri Nanesh Hospital</t>
  </si>
  <si>
    <t>Doctor</t>
  </si>
  <si>
    <t>https://www.instagram.com/naneshhospital</t>
  </si>
  <si>
    <t>Plot no.13, Shop No. 18, Bhima Shankar CHS Shopping Complex, Sector 19A Nerul Rd</t>
  </si>
  <si>
    <t>· Closes 8:30 PM</t>
  </si>
  <si>
    <t>+91 91372 08535</t>
  </si>
  <si>
    <t>"The staff made me feel comfortable throughout the visit."</t>
  </si>
  <si>
    <t>https://www.google.com/maps/place/Apollo+Hospital,/data=!4m7!3m6!1s0x3be7c3903a3c9297:0xb858a25d34856005!8m2!3d19.0208646!4d73.0287337!16s%2Fg%2F11plkkvf08!19sChIJl5I8OpDD5zsRBWCFNF2iWLg?authuser=0&amp;hl=en&amp;rclk=1</t>
  </si>
  <si>
    <t>https://www.google.com/maps/place/Acharya+Shri+Nanesh+Hospital/data=!4m7!3m6!1s0x3be7c23539fec13b:0xd98d02fabb970045!8m2!3d19.033325!4d73.041195!16s%2Fg%2F12cpldkhr!19sChIJO8H-OTXC5zsRRQCXu_oCjdk?authuser=0&amp;hl=en&amp;rclk=1</t>
  </si>
  <si>
    <t>Apollo Hospital,</t>
  </si>
  <si>
    <t>Private hospital</t>
  </si>
  <si>
    <t>Plot No 34-37</t>
  </si>
  <si>
    <t>+91 86930 84084</t>
  </si>
  <si>
    <t>Hospital</t>
  </si>
  <si>
    <t>https://drnevinaabraham.getmy.clinic/</t>
  </si>
  <si>
    <t>Plot no 13, Parsik Hill Rd, off Uran Road</t>
  </si>
  <si>
    <t>Open 24 hours</t>
  </si>
  <si>
    <t>+91 80 6297 2766</t>
  </si>
  <si>
    <t></t>
  </si>
  <si>
    <t>"The therapists exhibited a remarkable level of expertise and compassion."</t>
  </si>
  <si>
    <t></t>
  </si>
  <si>
    <t>https://www.apollohospitals.com/hospitals/apollo-hospitals-mumbai</t>
  </si>
  <si>
    <t>Alpha Dental Clinic</t>
  </si>
  <si>
    <t>https://www.instagram.com/dr.nevin.abraham</t>
  </si>
  <si>
    <t>https://www.google.com/maps/place/Jalphama+Clinic+%28+Dr.+Bhanushali%29/data=!4m7!3m6!1s0x3be7c3c7911986eb:0x74e823347d80b11d!8m2!3d19.031161!4d73.026728!16s%2Fg%2F1pv2l2tyb!19sChIJ64YZkcfD5zsRHbGAfTQj6HQ?authuser=0&amp;hl=en&amp;rclk=1</t>
  </si>
  <si>
    <t>Medium</t>
  </si>
  <si>
    <t>https://www.google.com/maps/place/Alpha+Dental+Clinic/data=!4m7!3m6!1s0x3be7c3bd7981ef7d:0x45908abf3f22a486!8m2!3d19.0202786!4d73.0173018!16s%2Fg%2F11gcmmc1lr!19sChIJfe-Beb3D5zsRhqQiP7-KkEU?authuser=0&amp;hl=en&amp;rclk=1</t>
  </si>
  <si>
    <t>Digital marketing</t>
  </si>
  <si>
    <t>Jalphama Clinic ( Dr. Bhanushali)</t>
  </si>
  <si>
    <t>Dental clinic</t>
  </si>
  <si>
    <t>Shop No.10, Plot, 13, Annasaheb Urf Blvd Zhute Marg</t>
  </si>
  <si>
    <t>Shop No.11, Shreeji Seva CHS, Plot No.42</t>
  </si>
  <si>
    <t>· Closes 11 PM</t>
  </si>
  <si>
    <t>+91 93232 05179</t>
  </si>
  <si>
    <t>Anand Clinic</t>
  </si>
  <si>
    <t>"He's very polite and doesn't make you feel like a patient."</t>
  </si>
  <si>
    <t>https://www.google.com/maps/place/Anand+Clinic/data=!4m7!3m6!1s0x3be7c3c303802b3d:0x286a0ce386758130!8m2!3d19.038677!4d73.0197082!16s%2Fg%2F11bw4jpygq!19sChIJPSuAA8PD5zsRMIF1huMMaig?authuser=0&amp;hl=en&amp;rclk=1</t>
  </si>
  <si>
    <t>https://www.google.com/maps/place/Parasnath+Speciality+Clinics+%7C+Knee+and+Spine+Clinic+in+Vashi,+Navi+Mumbai/data=!4m7!3m6!1s0x3be7c1dfafcc8b65:0xbaba3c2e67be05d4!8m2!3d19.0737122!4d72.9992978!16s%2Fg%2F11fk2mhxc4!19sChIJZYvMr9_B5zsR1AW-Zy48uro?authuser=0&amp;hl=en&amp;rclk=1</t>
  </si>
  <si>
    <t>F-3, Jagatguru Aadi Shankracharya Marg</t>
  </si>
  <si>
    <t>"The</t>
  </si>
  <si>
    <t>Parasnath Speciality Clinics | Knee and Spine Clinic in Vashi, Navi Mumbai</t>
  </si>
  <si>
    <t>plan was thorough and the results are visible."</t>
  </si>
  <si>
    <t>Ayurvedic clinic</t>
  </si>
  <si>
    <t>Aniruddha Health Clinic</t>
  </si>
  <si>
    <t>https://www.google.com/maps/place/Aniruddha+Health+Clinic/data=!4m7!3m6!1s0x3be7c24cb71e71f9:0x2fdc4500545e765a!8m2!3d19.0246747!4d73.0410086!16s%2Fg%2F11tdl6tyx6!19sChIJ-XEet0zC5zsRWnZeVABF3C8?authuser=0&amp;hl=en&amp;rclk=1</t>
  </si>
  <si>
    <t>Low</t>
  </si>
  <si>
    <t>None</t>
  </si>
  <si>
    <t>S.N</t>
  </si>
  <si>
    <t>2nd Floor, Mahavir tower, above golden punjab hotel</t>
  </si>
  <si>
    <t>Closes soon</t>
  </si>
  <si>
    <t>+91 90824 00043</t>
  </si>
  <si>
    <t>Shop Number 69, Prabhat Centre 1st Floor Plot 7 Sector Number 1a C B D Belapur Navi Mumbai</t>
  </si>
  <si>
    <t>"All the staff in the</t>
  </si>
  <si>
    <t>+91 97696 95873</t>
  </si>
  <si>
    <t>https://parasnathclinics.com/</t>
  </si>
  <si>
    <t>is clean, well-organized, and staff is friendly too."</t>
  </si>
  <si>
    <t>· 7 PM · Opens 10 AM Wed</t>
  </si>
  <si>
    <t>clinic</t>
  </si>
  <si>
    <t>very supportive and helpful."</t>
  </si>
  <si>
    <t>Apollo Hospital</t>
  </si>
  <si>
    <t>https://www.google.com/maps/place/Sanjeevni+Clinic-+The+Family+Doctor/data=!4m7!3m6!1s0x3be7c1cea7b703fb:0x600191e4e76c7976!8m2!3d19.0390708!4d73.01777!16s%2Fg%2F11shj5hf25!19sChIJ-wO3p87B5zsRdnls5-SRAWA?authuser=0&amp;hl=en&amp;rclk=1</t>
  </si>
  <si>
    <t>https://www.instagram.com/theapollohospitals</t>
  </si>
  <si>
    <t>Sanjeevni Clinic- The Family Doctor</t>
  </si>
  <si>
    <t>Walk-in clinic</t>
  </si>
  <si>
    <t>Sanjeevni Clinic, NL-A 3/4, 706, Station Road</t>
  </si>
  <si>
    <t>+91 98695 13498</t>
  </si>
  <si>
    <t>"I would recommend her."</t>
  </si>
  <si>
    <t>https://www.google.com/maps/place/Dr.+Salman%27s+Healthcare+clinic/data=!4m7!3m6!1s0x3be7c3e97713dd7f:0x3e624dd525be13e9!8m2!3d19.034756!4d73.01564!16s%2Fg%2F11rmx06x2j!19sChIJf90Td-nD5zsR6RO-JdVNYj4?authuser=0&amp;hl=en&amp;rclk=1</t>
  </si>
  <si>
    <t>https://www.apollohospitals.com/</t>
  </si>
  <si>
    <t>Apollo ProHealth - Navi Mumbai</t>
  </si>
  <si>
    <t>Dr. Salman's Healthcare clinic</t>
  </si>
  <si>
    <t>https://www.google.com/maps/place/Apollo+ProHealth+-+Navi+Mumbai/data=!4m7!3m6!1s0x3be7c3d15044d7e7:0xbdebc5b46159df7a!8m2!3d19.020968!4d73.029081!16s%2Fg%2F11ltlczckh!19sChIJ59dEUNHD5zsRet9ZYbTF670?authuser=0&amp;hl=en&amp;rclk=1</t>
  </si>
  <si>
    <t>House No. 17,Shop, no. 02, Gaon (West</t>
  </si>
  <si>
    <t>"The plan was thorough and the results are visible."</t>
  </si>
  <si>
    <t>+91 87073 40438</t>
  </si>
  <si>
    <t>High</t>
  </si>
  <si>
    <t>Both</t>
  </si>
  <si>
    <t>"The services that I receive from Dr  is excellent."</t>
  </si>
  <si>
    <t>https://www.google.com/maps/place/Lions+Hospital/data=!4m7!3m6!1s0x3be7c0d766c60807:0xdadd8c3a5ffb464a!8m2!3d19.1005881!4d73.0047438!16s%2Fg%2F1tf7qlnq!19sChIJBwjGZtfA5zsRSkb7XzqM3do?authuser=0&amp;hl=en&amp;rclk=1</t>
  </si>
  <si>
    <t>Health consultant</t>
  </si>
  <si>
    <t>Plot 13, Parsik Hill Rd, off Uran Road, opp. Nerul Wonders Park</t>
  </si>
  <si>
    <t>+91 80 6942 0449</t>
  </si>
  <si>
    <t>"The Receptionist is also very professional and Cooperative."</t>
  </si>
  <si>
    <t>Arihant Clinic</t>
  </si>
  <si>
    <t>https://www.google.com/maps/place/Arihant+Clinic/data=!4m7!3m6!1s0x3be7c3bf00b5c935:0x32e3708e152d2cd1!8m2!3d19.0269386!4d73.0201229!16s%2Fg%2F113gbxqjy!19sChIJNcm1AL_D5zsR0SwtFY5w4zI?authuser=0&amp;hl=en&amp;rclk=1</t>
  </si>
  <si>
    <t>Lions Hospital</t>
  </si>
  <si>
    <t>101, Vashi Kopar Khairane Rd</t>
  </si>
  <si>
    <t>nan</t>
  </si>
  <si>
    <t>+91 83559 61073</t>
  </si>
  <si>
    <t>"Excellent service, professional care, and a friendly environment."</t>
  </si>
  <si>
    <t>http://lionshospital.co.in/</t>
  </si>
  <si>
    <t>1st floor, Plot No 312</t>
  </si>
  <si>
    <t>+91 90041 31975</t>
  </si>
  <si>
    <t>"The is clean, well-organized, and staff is friendly too."</t>
  </si>
  <si>
    <t>"Great work by dr"</t>
  </si>
  <si>
    <t>https://www.google.com/aclk?sa=L&amp;ai=DChsSEwjEga3j5-OVAxXGmGYCHSv4L60YACICCAEQABoCc20&amp;co=1&amp;ase=2&amp;gclid=CjwKCAjwsfzSBhB5EiwAOGyqSRqHv8zm3JQ3XITZthGBOX6tl3OqxVUzpxkmKhbFNu2bIerIQf8YMBoCjJM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AXjq4v1QR-MsYwLJX71Qe77Pj0A&amp;adurl&amp;q&amp;ctype=99&amp;nis=6</t>
  </si>
  <si>
    <t>https://www.google.com/maps/place/DR.+PARVEZ+UMAR+KHAN,+ROSHAN+UMAR+CLINIC,Family+Phsician+%28M.B.B.S%29Nerul,Navi+Mumbai/data=!4m7!3m6!1s0x3be7c36ec80371df:0x5fed2ab38de5bd89!8m2!3d19.0284367!4d73.0181821!16s%2Fg%2F11s2k6tmd9!19sChIJ33EDyG7D5zsRib3ljbMq7V8?authuser=0&amp;hl=en&amp;rclk=1</t>
  </si>
  <si>
    <t>DR. PARVEZ UMAR KHAN, ROSHAN UMAR CLINIC,Family Phsician (M.B.B.S)Nerul,Navi Mumbai</t>
  </si>
  <si>
    <t>SHOP NO. 27 MARY LAND CHS PLOT No. A-7,SECTOR-23,DARAVE,NERUL(E),NAVI MUMBAI PIN- 4000706, NERUL EAST</t>
  </si>
  <si>
    <t>+91 98218 22843</t>
  </si>
  <si>
    <t>"The diagnosis and</t>
  </si>
  <si>
    <t>ART Fertility Clinics</t>
  </si>
  <si>
    <t>treatment</t>
  </si>
  <si>
    <t>https://www.instagram.com/artfertilityclinics</t>
  </si>
  <si>
    <t>were spot on."</t>
  </si>
  <si>
    <t>https://www.google.com/maps/place/Dr+Suresh+Ade/data=!4m7!3m6!1s0x3be7c14b0b438087:0x8a4507f5b2b8135e!8m2!3d19.0418173!4d73.0193001!16s%2Fg%2F11c6pm6_m8!19sChIJh4BDC0vB5zsRXhO4svUHRYo?authuser=0&amp;hl=en&amp;rclk=1</t>
  </si>
  <si>
    <t>https://www.google.com/maps/place/ART+Fertility+Clinics/data=!4m7!3m6!1s0x3be7c9f4dd2ad901:0x69a60861fe685c28!8m2!3d19.07118!4d72.87709!16s%2Fg%2F11q8y5nz8r!19sChIJAdkq3fTJ5zsRKFxo_mEIpmk?authuser=0&amp;hl=en&amp;rclk=1</t>
  </si>
  <si>
    <t>Dr Suresh Ade</t>
  </si>
  <si>
    <t>Diabetologist</t>
  </si>
  <si>
    <t>Clinic No.22, Ayush Clinic, Saisthan CHS</t>
  </si>
  <si>
    <t>"Highly skilled specialist."</t>
  </si>
  <si>
    <t>Fertility clinic</t>
  </si>
  <si>
    <t>beside Tata Communications</t>
  </si>
  <si>
    <t>https://drsureshadediabetologist.com/</t>
  </si>
  <si>
    <t>084488 01362</t>
  </si>
  <si>
    <t>"Helped me with my neck pain  and I got instant relief after visiting her."</t>
  </si>
  <si>
    <t>https://www.google.com/aclk?sa=L&amp;ai=DChsSEwjY_q3l5-OVAxXQhWYCHQ6GN9gYACICCAEQCxoCc20&amp;co=1&amp;ase=2&amp;gclid=CjwKCAjwsfzSBhB5EiwAOGyqSa8bJmiInQcnqhYOoPHpcSABmZNKk6Nx2iOESQr5MdFW614cV373-BoCQxY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02BkDFe0onG1zHICP9IauMYOumMw&amp;adurl&amp;q&amp;ctype=99&amp;nis=6</t>
  </si>
  <si>
    <t>https://www.google.com/maps/place/Skin+Science+Clinic/data=!4m7!3m6!1s0x3be7c36b1840cb01:0xe12325ea03317617!8m2!3d19.0241021!4d73.0210187!16s%2Fg%2F11t4276g1s!19sChIJActAGGvD5zsRF3YxA-olI-E?authuser=0&amp;hl=en&amp;rclk=1</t>
  </si>
  <si>
    <t>Skin Science Clinic</t>
  </si>
  <si>
    <t>Skin care clinic</t>
  </si>
  <si>
    <t>Plot no. 17, Office No. 9, Wing D First Floor, Millennium Park building, circle, near Haware Centurion Mall</t>
  </si>
  <si>
    <t>+91 77770 05606</t>
  </si>
  <si>
    <t>"The staff and</t>
  </si>
  <si>
    <t>"The care,</t>
  </si>
  <si>
    <t>are extremely nice, professional, and caring."</t>
  </si>
  <si>
    <t>https://skinsciencemumbai.com/</t>
  </si>
  <si>
    <t>https://www.google.com/aclk?sa=L&amp;ai=DChsSEwjEga3j5-OVAxXGmGYCHSv4L60YACICCAEQBRoCc20&amp;co=1&amp;ase=2&amp;gclid=CjwKCAjwsfzSBhB5EiwAOGyqSTtAOGNHNSBEHIVnrWwP9gSl-fdjqI4VWBDSoXKHVxJLWLVFUHh5sRoCg9U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VK-l2VpDixYtQZeT_BunAV-iMoA&amp;adurl&amp;q&amp;ctype=99&amp;nis=6</t>
  </si>
  <si>
    <t>, and ambience here are truly comforting."</t>
  </si>
  <si>
    <t>https://www.google.com/maps/place/Dr.Chitra%27s+BellaDerma/data=!4m7!3m6!1s0x3be7c3f2fe429b63:0xfcbeea04dc4c9309!8m2!3d19.0297471!4d73.025239!16s%2Fg%2F11r_w828f0!19sChIJY5tC_vLD5zsRCZNM3ATqvvw?authuser=0&amp;hl=en&amp;rclk=1</t>
  </si>
  <si>
    <t>ASG Eye Hospital | Best Cataract, Lasik &amp; Retina Centre - Vashi, Mumbai</t>
  </si>
  <si>
    <t>https://www.instagram.com/asgeyehospital</t>
  </si>
  <si>
    <t>Dr.Chitra's BellaDerma</t>
  </si>
  <si>
    <t>Shop no 14, Lenyadri Complex, Plot No. 47/1 2, opp. Madhavi CHS</t>
  </si>
  <si>
    <t>+91 85915 94849</t>
  </si>
  <si>
    <t>https://www.google.com/maps/place/ASG+Eye+Hospital+%7C+Best+Cataract,+Lasik+%26+Retina+Centre+-+Vashi,+Mumbai/data=!4m7!3m6!1s0x3be7c1f454bd3783:0x9e0b8aaab5dc8756!8m2!3d19.070291!4d72.997918!16s%2Fg%2F11k3d0lph0!19sChIJgze9VPTB5zsRVofctaqKC54?authuser=0&amp;hl=en&amp;rclk=1</t>
  </si>
  <si>
    <t>"The treatments have made a noticeable difference in my skin and hair health."</t>
  </si>
  <si>
    <t>https://www.google.com/maps/place/Skin+Soul+-+Laser+hair+reduction+in+Navi+Mumbai,+ChemicalPeeling,+Hydra-facial+in+Navi+Mumbai,+Botox+treatment+in+Navi+Mumbai/data=!4m7!3m6!1s0x3be7c14a46874ead:0xffde2beb7bdfa747!8m2!3d19.0442387!4d73.009609!16s%2Fg%2F11fzbjjzkx!19sChIJrU6HRkrB5zsRR6ffe-sr3v8?authuser=0&amp;hl=en&amp;rclk=1</t>
  </si>
  <si>
    <t>Plot No 88</t>
  </si>
  <si>
    <t>0674 617 2480</t>
  </si>
  <si>
    <t>Skin Soul - Laser hair reduction in Navi Mumbai, ChemicalPeeling, Hydra-facial in Navi Mumbai, Botox treatment in Navi Mumbai</t>
  </si>
  <si>
    <t>http://aguramrit.org/</t>
  </si>
  <si>
    <t>First Floor, Sai Paradise shop no 1, Plot 21, opp. Prashant Corner</t>
  </si>
  <si>
    <t>+91 93215 84678</t>
  </si>
  <si>
    <t>Ayuramrit Ayurved Clinic</t>
  </si>
  <si>
    <t>"I underwent several procedures, and the results were excellent."</t>
  </si>
  <si>
    <t>https://www.google.com/maps/place/Ayuramrit+Ayurved+Clinic/data=!4m7!3m6!1s0x3be7c219996deae3:0xbb9a097635c277e4!8m2!3d19.048221!4d73.0689048!16s%2Fg%2F11c0xvb29b!19sChIJ4-ptmRnC5zsR5HfCNXYJmrs?authuser=0&amp;hl=en&amp;rclk=1</t>
  </si>
  <si>
    <t>https://www.skinsoul.in/</t>
  </si>
  <si>
    <t>· Closes 9 PM</t>
  </si>
  <si>
    <t>https://www.google.com/maps/place/Ayushakti+Ayurved+Health+Centre+%7C+Panchakarma+Clinic+in+Navi+Mumbai/data=!4m7!3m6!1s0x3be7c3ab786a6a1f:0x4294e10b00f08572!8m2!3d19.0367236!4d73.0643284!16s%2Fg%2F11g_v6hfzy!19sChIJH2pqeKvD5zsRcoXwAAvhlEI?authuser=0&amp;hl=en&amp;rclk=1</t>
  </si>
  <si>
    <t>Alternative medicine practitioner</t>
  </si>
  <si>
    <t>Shop No 66/67, Chaturbhuj CHS, Shilp Chowk</t>
  </si>
  <si>
    <t>+91 76668 05588</t>
  </si>
  <si>
    <t>"Both the</t>
  </si>
  <si>
    <t>are very polite and knowledgeable."</t>
  </si>
  <si>
    <t>Ayush Clinic</t>
  </si>
  <si>
    <t>https://www.google.com/maps/place/Ayush+Clinic/data=!4m7!3m6!1s0x3be7c3ea25555555:0x639edf4685ce5535!8m2!3d19.0341284!4d73.0146921!16s%2Fg%2F11srv8y1lx!19sChIJVVVVJerD5zsRNVXOhUbfnmM?authuser=0&amp;hl=en&amp;rclk=1</t>
  </si>
  <si>
    <t>Ayushakti Ayurved Health Centre | Panchakarma Clinic in Navi Mumbai</t>
  </si>
  <si>
    <t>h.s, shops, Mahavir Shraddha c, Plot no 11-B, opp. Kendriya Vihar Metro Station Road</t>
  </si>
  <si>
    <t>+91 86578 62385</t>
  </si>
  <si>
    <t>https://www.ayushakti.com/</t>
  </si>
  <si>
    <t>Sector 20, Nerul, Sion, Number 5 Plot Number, B 49, Nerul East, Navi</t>
  </si>
  <si>
    <t>+91 99672 63283</t>
  </si>
  <si>
    <t>"His in depth knowledge has helped me a lot."</t>
  </si>
  <si>
    <t>· Closes 8 PM</t>
  </si>
  <si>
    <t>doctors</t>
  </si>
  <si>
    <t>and staff are very friendly, positive and responsive."</t>
  </si>
  <si>
    <t>https://www.google.com/maps/place/Health+Care+Clinic/data=!4m7!3m6!1s0x3be7c3bc27753c85:0x6cfb8c05c28a9fb3!8m2!3d19.0245599!4d73.0197486!16s%2Fg%2F1pp2txp0_!19sChIJhTx1J7zD5zsRs5-KwgWM-2w?authuser=0&amp;hl=en&amp;rclk=1</t>
  </si>
  <si>
    <t>https://www.instagram.com/ayushakti</t>
  </si>
  <si>
    <t>Health Care Clinic</t>
  </si>
  <si>
    <t>Siddhivinayak Building,Plot No.B-99,Shop No.2, Darave Rd</t>
  </si>
  <si>
    <t>· Closes 10:30 PM</t>
  </si>
  <si>
    <t>+91 99200 84451</t>
  </si>
  <si>
    <t>"⭐⭐⭐⭐⭐
Dr. FM Chogle is very friendly and highly experienced."</t>
  </si>
  <si>
    <t>https://www.google.com/maps/place/Ivory+Physiotherapy+Clinic+Nerul+Navi+Mumbai/data=!4m7!3m6!1s0x3be7c357181be0f9:0x43273c8f83a0f300!8m2!3d19.0110622!4d73.013619!16s%2Fg%2F11t5dxshjk!19sChIJ-eAbGFfD5zsRAPOgg488J0M?authuser=0&amp;hl=en&amp;rclk=1</t>
  </si>
  <si>
    <t>"Helped me with my neck pain and I got instant relief after visiting her."</t>
  </si>
  <si>
    <t>https://www.bcaclinicindia.com/</t>
  </si>
  <si>
    <t>Ivory Physiotherapy Clinic Nerul Navi Mumbai</t>
  </si>
  <si>
    <t>BCA CLINIC NAVI MUMBAI by Deepali Banerjee</t>
  </si>
  <si>
    <t>https://www.instagram.com/bcaclinicindia</t>
  </si>
  <si>
    <t>First Floor, NEELKANTH RESIDENCY, Office No, 1-6</t>
  </si>
  <si>
    <t>+91 85911 26927</t>
  </si>
  <si>
    <t>https://www.google.com/maps/place/BCA+CLINIC+NAVI+MUMBAI+by+Deepali+Banerjee/data=!4m7!3m6!1s0x3be7c1f3065cab8d:0x6bfadc5f2fe74d8b!8m2!3d19.053278!4d73.0070932!16s%2Fg%2F11zjvpwdcc!19sChIJjatcBvPB5zsRi03nL1_c-ms?authuser=0&amp;hl=en&amp;rclk=1</t>
  </si>
  <si>
    <t>https://ivoryphysiotherapy.in/</t>
  </si>
  <si>
    <t>· Closes 9:30 PM</t>
  </si>
  <si>
    <t>PLOT NO.- 88, 18, Palm Beach Rd</t>
  </si>
  <si>
    <t>is clean, professional, and truly focused on patient recovery."</t>
  </si>
  <si>
    <t>http://www.drsupriyaskinandhairclinic.com/</t>
  </si>
  <si>
    <t>Be You Aesthetics Clinic- Ayurvedic doctor</t>
  </si>
  <si>
    <t>https://www.google.com/maps/place/Be+You+Aesthetics+Clinic-+Ayurvedic+doctor/data=!4m7!3m6!1s0x3be7c3a6d49e90cb:0x353b6db365b25829!8m2!3d19.0262789!4d73.0427916!16s%2Fg%2F11vq9n9ls0!19sChIJy5Ce1KbD5zsRKViyZbNtOzU?authuser=0&amp;hl=en&amp;rclk=1</t>
  </si>
  <si>
    <t>ground floor, Sector 4, Neelkanth Apartments, C-5/8/0:4, beside Akshar investment services</t>
  </si>
  <si>
    <t>+91 87796 00322</t>
  </si>
  <si>
    <t>https://www.google.com/maps/place/Vyana+Skin+Clinic+and+Yoga+Center+%28Navi+Mumbai%29/data=!4m7!3m6!1s0x3be7c3997d07c021:0xb37297c118b5ff4d!8m2!3d19.01372!4d73.0112652!16s%2Fg%2F11hbvp_rn3!19sChIJIcAHfZnD5zsRTf-1GMGXcrM?authuser=0&amp;hl=en&amp;rclk=1</t>
  </si>
  <si>
    <t>"The staff and are extremely nice, professional, and caring."</t>
  </si>
  <si>
    <t>"The staff is friendly and the</t>
  </si>
  <si>
    <t>is clean and well-equipped"</t>
  </si>
  <si>
    <t>https://www.centreforsight.net/eye-hospitals-in-india/mumbai/navi-mumbai?utm_source=GMB&amp;utm_medium=Local+Pack&amp;utm_campaign=GMB_Navi_Mumbai_Mumbai</t>
  </si>
  <si>
    <t>Vyana Skin Clinic and Yoga Center (Navi Mumbai)</t>
  </si>
  <si>
    <t>Shop No. 1, PLot no 62</t>
  </si>
  <si>
    <t>Centre For Sight | Nerul | Navi Mumbai</t>
  </si>
  <si>
    <t>https://www.instagram.com/centreforsightindia</t>
  </si>
  <si>
    <t>+91 99673 29119</t>
  </si>
  <si>
    <t>"Way of doing things were professional and have been going for 4 years."</t>
  </si>
  <si>
    <t>https://www.google.com/maps/place/Terna+Speciality+Hospital+%26+Research+Centre,+Navi+Mumbai+%7C+Best+Hospital+in+Navi+Mumbai/data=!4m7!3m6!1s0x3be7c3ea86beb207:0x7f154e8cdff9c916!8m2!3d19.0315347!4d73.0162787!16s%2Fg%2F11gzm8fv1!19sChIJB7K-hurD5zsRFsn534xOFX8?authuser=0&amp;hl=en&amp;rclk=1</t>
  </si>
  <si>
    <t>https://www.google.com/maps/place/Centre+For+Sight+%7C+Nerul+%7C+Navi+Mumbai/data=!4m7!3m6!1s0x3be7c3c6b1555555:0x7a370656617c2e06!8m2!3d19.0238561!4d73.021885!16s%2Fg%2F1ptwt1mns!19sChIJVVVVscbD5zsRBi58YVYGN3o?authuser=0&amp;hl=en&amp;rclk=1</t>
  </si>
  <si>
    <t>Terna Speciality Hospital &amp; Research Centre, Navi Mumbai | Best Hospital in Navi Mumbai</t>
  </si>
  <si>
    <t>General hospital</t>
  </si>
  <si>
    <t>Eye care center</t>
  </si>
  <si>
    <t>at Shivam Eye Foundation, Plot no. 14, beside Bihar Bhavan, behind HP Petrol Pump</t>
  </si>
  <si>
    <t>+91 80 6542 3838</t>
  </si>
  <si>
    <t>Phase II, Plot no 12, Sector 22, opp. Nerul Railway Station</t>
  </si>
  <si>
    <t>and staff communicate well with patients."</t>
  </si>
  <si>
    <t>+91 22 6157 8300</t>
  </si>
  <si>
    <t>https://www.cloudninecare.com/centre/vashi?utm_city=mumbai&amp;utm_source=gmb&amp;utm_medium=organic&amp;utm_campaign=mumbai+vashi+c9-hospital-gmb-website+c9-hospital-vashi&amp;utm_content=website-button</t>
  </si>
  <si>
    <t>"Staff is friendly and understanding,</t>
  </si>
  <si>
    <t>https://ternahospital.org/</t>
  </si>
  <si>
    <t>is performed accurately."</t>
  </si>
  <si>
    <t>https://www.google.com/maps/place/Echelon+Hospital/data=!4m7!3m6!1s0x3be7c0ce2ed4c9cf:0x6f5fc27430527124!8m2!3d19.1085005!4d73.0017709!16s%2Fg%2F1thk764z!19sChIJz8nULs7A5zsRJHFSMHTCX28?authuser=0&amp;hl=en&amp;rclk=1</t>
  </si>
  <si>
    <t>Cloudnine Hospital - Vashi | Maternity &amp; Pregnancy Centre</t>
  </si>
  <si>
    <t>https://www.instagram.com/cloudninecare</t>
  </si>
  <si>
    <t>https://www.google.com/maps/place/Cloudnine+Hospital+-+Vashi+%7C+Maternity+%26+Pregnancy+Centre/data=!4m7!3m6!1s0x3be7c15eab21a345:0x7a38770bca94d1c0!8m2!3d19.0852316!4d73.007675!16s%2Fg%2F11f0_gktyv!19sChIJRaMhq17B5zsRwNGUygt3OHo?authuser=0&amp;hl=en&amp;rclk=1</t>
  </si>
  <si>
    <t>Echelon Hospital</t>
  </si>
  <si>
    <t>plot no 12/13, near Indian Oil Petrol Pump</t>
  </si>
  <si>
    <t>+91 89895 85050</t>
  </si>
  <si>
    <t>"Great</t>
  </si>
  <si>
    <t>https://www.echelonhospital.com/</t>
  </si>
  <si>
    <t>Maternity hospital</t>
  </si>
  <si>
    <t>+91 99728 99728</t>
  </si>
  <si>
    <t>"Procedure was thoroughly explained and post operative care was meticulous."</t>
  </si>
  <si>
    <t>https://clovedental.in/dentist-near-me/navi-mumbai/sector-8nerulnavi-mumbai?utm_source=website&amp;utm_medium=gmb&amp;utm_campaign=Sector_8_Nerul_Navi_Mumbai_GMB</t>
  </si>
  <si>
    <t>, clean facilities, friendly staff."</t>
  </si>
  <si>
    <t>https://www.google.com/maps/place/Dr+Batra%E2%80%99s+Homeopathy+Clinic/data=!4m7!3m6!1s0x3be7c3c0c782483b:0xe0a102e770fe4288!8m2!3d19.0310537!4d73.0217795!16s%2Fg%2F12hr5cmft!19sChIJO0iCx8DD5zsRiEL-cOcCoeA?authuser=0&amp;hl=en&amp;rclk=1</t>
  </si>
  <si>
    <t>"Both the are very polite and knowledgeable."</t>
  </si>
  <si>
    <t>Clove Dental Clinic - Nerul Sector 8, Navi Mumbai</t>
  </si>
  <si>
    <t>https://www.instagram.com/clovedentalindia</t>
  </si>
  <si>
    <t>Dr Batra’s Homeopathy Clinic</t>
  </si>
  <si>
    <t>Homeopath</t>
  </si>
  <si>
    <t>https://www.google.com/maps/place/Clove+Dental+Clinic+-+Nerul+Sector+8,+Navi+Mumbai/data=!4m7!3m6!1s0x3be7c38379107e29:0xa53fc15c83c872c2!8m2!3d19.040947!4d73.0148091!16s%2Fg%2F11y7tg53v2!19sChIJKX4QeYPD5zsRwnLIg1zBP6U?authuser=0&amp;hl=en&amp;rclk=1</t>
  </si>
  <si>
    <t>1st Floor, No 101 &amp; 103, Plot No 101, near D Mart</t>
  </si>
  <si>
    <t>+91 70450 06060</t>
  </si>
  <si>
    <t>"Helped tackle my dandruff issue and could see considerable growth in hair."</t>
  </si>
  <si>
    <t>https://clinics.drbatras.com/navi-mumbai/homeopathy-clinic-sector-21</t>
  </si>
  <si>
    <t>Ground Floor, Aryan Hospital, near, Hanuman Mandir Rd</t>
  </si>
  <si>
    <t>+91 11 6927 1067</t>
  </si>
  <si>
    <t>"Best service Dr Sunayna is very nice and courteous."</t>
  </si>
  <si>
    <t>http://www.kbcclinics.com/</t>
  </si>
  <si>
    <t>https://www.google.com/maps/place/SkinIQ+Skin+Clinic/data=!4m7!3m6!1s0x3be7c36e0a3f11ef:0x95f182a071cac221!8m2!3d19.0432094!4d73.0640734!16s%2Fg%2F11mvp6dv72!19sChIJ7xE_Cm7D5zsRIcLKcaCC8ZU?authuser=0&amp;hl=en&amp;rclk=1</t>
  </si>
  <si>
    <t>Cosmetic &amp; Hair Transplant Clinic</t>
  </si>
  <si>
    <t>https://www.instagram.com/kbcclinics</t>
  </si>
  <si>
    <t>SkinIQ Skin Clinic</t>
  </si>
  <si>
    <t>Dermatologist</t>
  </si>
  <si>
    <t>Plot D59, CHS Near Furniture Market, Shree Krishna Paradise, Colours hospital, 101, Tower 10, near Starbucks</t>
  </si>
  <si>
    <t>https://www.google.com/maps/place/Cosmetic+%26+Hair+Transplant+Clinic/data=!4m7!3m6!1s0x3be7c91028e4cc13:0x228f3ccb6c59d7d7!8m2!3d19.0246875!4d73.0221875!16s%2Fg%2F11bzwrt9t_!19sChIJE8zkKBDJ5zsR19dZbMs8jyI?authuser=0&amp;hl=en&amp;rclk=1</t>
  </si>
  <si>
    <t>+91 83830 24748</t>
  </si>
  <si>
    <t>"It’s rare to find a</t>
  </si>
  <si>
    <t>https://www.skiniq.in/</t>
  </si>
  <si>
    <t>doctor</t>
  </si>
  <si>
    <t>who gives so much attention to patient concerns."</t>
  </si>
  <si>
    <t>Plastic surgery clinic</t>
  </si>
  <si>
    <t>https://www.google.com/maps/place/Dr.+Sanita%27s+Ananya+Women%27s+Clinic,+Best+Obstetrician+%26+Gynaecologist+in+Seawoods,+Navi+Mumbai+%7C+Maternity+%7C+Abortion+Clinic/data=!4m7!3m6!1s0x3be7c3abdfdd49c3:0x90063f53beb57217!8m2!3d19.0119188!4d73.0234878!16s%2Fg%2F11rg6xnq__!19sChIJw0nd36vD5zsRF3K1vlM_BpA?authuser=0&amp;hl=en&amp;rclk=1</t>
  </si>
  <si>
    <t>22FC+VVC Hawares Centurion Mall, S04C</t>
  </si>
  <si>
    <t>On-site services not available</t>
  </si>
  <si>
    <t>https://dypatilhospitals.com/</t>
  </si>
  <si>
    <t>D Y Patil Hospital</t>
  </si>
  <si>
    <t>https://www.instagram.com/dypatilhospital</t>
  </si>
  <si>
    <t>Dr. Sanita's Ananya Women's Clinic, Best Obstetrician &amp; Gynaecologist in Seawoods, Navi Mumbai | Maternity | Abortion Clinic</t>
  </si>
  <si>
    <t>Women's health clinic</t>
  </si>
  <si>
    <t>https://www.google.com/maps/place/D+Y+Patil+Hospital/data=!4m7!3m6!1s0x3be7c618a5555555:0xa446b85191e625c8!8m2!3d19.0411561!4d73.0246854!16s%2Fg%2F11csrv8x53!19sChIJVVVVpRjG5zsRyCXmkVG4RqQ?authuser=0&amp;hl=en&amp;rclk=1</t>
  </si>
  <si>
    <t>Shop No. 8, Shree Om Sadguru CHS, Plot No. 122</t>
  </si>
  <si>
    <t>+91 72086 44271</t>
  </si>
  <si>
    <t>https://www.drsanitamishra.com/</t>
  </si>
  <si>
    <t>Ayyappa Temple Rd</t>
  </si>
  <si>
    <t>+91 22 6517 5901</t>
  </si>
  <si>
    <t>http://dentalpulseclinic.com/</t>
  </si>
  <si>
    <t>is clean, peaceful, and welcoming, with very polite staff."</t>
  </si>
  <si>
    <t>https://www.google.com/maps/place/Prana+Shakti+Clinic.+Dr+Ashwini+Raval.+Best+Homeopathic+Doctor+in+Navi+Mumbai./data=!4m7!3m6!1s0x3be7c330780f4c7f:0xf778a5042230e637!8m2!3d19.041258!4d73.010146!16s%2Fg%2F11w3zyl_fm!19sChIJf0wPeDDD5zsRN-YwIgSlePc?authuser=0&amp;hl=en&amp;rclk=1</t>
  </si>
  <si>
    <t>"⭐⭐⭐⭐⭐
 Dr. FM Chogle is very friendly and highly experienced."</t>
  </si>
  <si>
    <t>Dental Pulse Clinic</t>
  </si>
  <si>
    <t>https://www.google.com/maps/place/Dental+Pulse+Clinic/data=!4m7!3m6!1s0x3be7c3c0e2af0db3:0x5ae99b51c2d5444!8m2!3d19.0309791!4d73.0217513!16s%2Fg%2F11df80zt_8!19sChIJsw2v4sDD5zsRRFQtHLWZrgU?authuser=0&amp;hl=en&amp;rclk=1</t>
  </si>
  <si>
    <t>Prana Shakti Clinic. Dr Ashwini Raval. Best Homeopathic Doctor in Navi Mumbai.</t>
  </si>
  <si>
    <t>chs, Sector 6, Shyam Niwas, Shop no 2, Plot no. 222,223</t>
  </si>
  <si>
    <t>· Closes 11:30 PM</t>
  </si>
  <si>
    <t>+91 88502 24001</t>
  </si>
  <si>
    <t>1st Floor, Doctor House, 102 E, near D-Mart Junction</t>
  </si>
  <si>
    <t>+91 83692 40730</t>
  </si>
  <si>
    <t>"Staff is supportive, rooms are clean, and</t>
  </si>
  <si>
    <t>"Clean</t>
  </si>
  <si>
    <t>was affordable."</t>
  </si>
  <si>
    <t>, smooth consultation process, and a comfortable atmosphere."</t>
  </si>
  <si>
    <t>https://www.google.com/maps/place/Dr.+Divyashree+Infectious+Diseases+%26+Vaccination+Clinic+in+Nerul,+Navi+Mumbai/data=!4m7!3m6!1s0x3be7c37cc6529ced:0x7d955bb3f3d793cf!8m2!3d19.0237908!4d73.0227001!16s%2Fg%2F11z8symppq!19sChIJ7ZxSxnzD5zsRz5PX87NblX0?authuser=0&amp;hl=en&amp;rclk=1</t>
  </si>
  <si>
    <t>Dermed Clinic</t>
  </si>
  <si>
    <t>https://www.google.com/maps/place/Dermed+Clinic/data=!4m7!3m6!1s0x3be7c397bee9aa87:0xed9c3ab75bb93e8c!8m2!3d19.0182874!4d73.0123738!16s%2Fg%2F11c5zxh3vr!19sChIJh6rpvpfD5zsRjD65W7c6nO0?authuser=0&amp;hl=en&amp;rclk=1</t>
  </si>
  <si>
    <t>"The staff is friendly and the is clean and well-equipped"</t>
  </si>
  <si>
    <t>Dr. Divyashree Infectious Diseases &amp; Vaccination Clinic in Nerul, Navi Mumbai</t>
  </si>
  <si>
    <t>Infectious disease physician</t>
  </si>
  <si>
    <t>Plot No 15, W, Shop 5, 6 &amp; 7 Chamunda Serene</t>
  </si>
  <si>
    <t>+91 98926 82878</t>
  </si>
  <si>
    <t>Sankalp CHS, Shop No-22, Ground Floor, Safal Park</t>
  </si>
  <si>
    <t>"Dr fees Also reasonable."</t>
  </si>
  <si>
    <t>Opens soon</t>
  </si>
  <si>
    <t>+91 89763 94839</t>
  </si>
  <si>
    <t>https://drashwathyharidas.com/</t>
  </si>
  <si>
    <t>https://divyashreeidclinic.com/</t>
  </si>
  <si>
    <t>Dr Ashwathy Haridas | Kidney and Hypertension Clinic | Best Nephrologist In Navi Mumbai</t>
  </si>
  <si>
    <t>https://www.instagram.com/drashwathyharidas</t>
  </si>
  <si>
    <t>· 6:30 PM</t>
  </si>
  <si>
    <t>is incredibly kind, friendly, and knowledgeable."</t>
  </si>
  <si>
    <t>https://www.google.com/maps/place/Dr+Pallavi+Clinic/data=!4m7!3m6!1s0x3be7c324c2fee1a7:0x955cfc8ff5ea8c55!8m2!3d19.0298618!4d73.0153222!16s%2Fg%2F11k434fxvp!19sChIJp-H-wiTD5zsRVYzq9Y_8XJU?authuser=0&amp;hl=en&amp;rclk=1</t>
  </si>
  <si>
    <t>https://www.google.com/maps/place/Dr+Ashwathy+Haridas+%7C+Kidney+and+Hypertension+Clinic+%7C+Best+Nephrologist+In+Navi+Mumbai/data=!4m7!3m6!1s0x3be7c3bed8600a5f:0x62b29724444747d8!8m2!3d19.0131344!4d73.012722!16s%2Fg%2F11s3zl3vxw!19sChIJXwpg2L7D5zsR2EdHRCSXsmI?authuser=0&amp;hl=en&amp;rclk=1</t>
  </si>
  <si>
    <t>"The and staff communicate well with patients."</t>
  </si>
  <si>
    <t>Dr Pallavi Clinic</t>
  </si>
  <si>
    <t>Terna Hospital, Plot No 12, Sector 22, opposite Nerul Railway Station</t>
  </si>
  <si>
    <t>Nephrologist</t>
  </si>
  <si>
    <t>https://www.google.com/maps/place/Nitai+children%27s+Clinic/data=!4m7!3m6!1s0x3be7c3a3064edaff:0x573a3fef53967679!8m2!3d19.030229!4d73.0225636!16s%2Fg%2F11g0s844bj!19sChIJ_9pOBqPD5zsReXaWU-8_Olc?authuser=0&amp;hl=en&amp;rclk=1</t>
  </si>
  <si>
    <t>Shop No. 7, Ground floor, Dr Ashwathy's Kidney &amp; Hypertension Clinic, The Signature, Plot Nr. 71, near HP Petrol Pump</t>
  </si>
  <si>
    <t>+91 91366 24877</t>
  </si>
  <si>
    <t>Nitai children's Clinic</t>
  </si>
  <si>
    <t>https://www.instagram.com/drbatrashealthcare</t>
  </si>
  <si>
    <t>Kamladevi birajdar marg, sai prem chs , plot number16, near excel lab</t>
  </si>
  <si>
    <t>+91 77100 77873</t>
  </si>
  <si>
    <t>"Dr Omi knowledgeable and took the time to answer all my questions."</t>
  </si>
  <si>
    <t>https://dromprakashj.getmy.clinic/</t>
  </si>
  <si>
    <t>https://www.google.com/maps/place/Sparsh+Skin+and+Hair+Cosmetology+Center/data=!4m7!3m6!1s0x3be7c0d9fb9d57bb:0xaa1e83806765c80f!8m2!3d19.1023143!4d73.0054881!16s%2Fg%2F1ptxqbj47!19sChIJu1ed-9nA5zsRD8hlZ4CDHqo?authuser=0&amp;hl=en&amp;rclk=1</t>
  </si>
  <si>
    <t>Dr Chandan Saha MBBS Clinic</t>
  </si>
  <si>
    <t>https://www.google.com/maps/place/Dr+Chandan+Saha+MBBS+Clinic/data=!4m7!3m6!1s0x3be7c346e855170b:0x91ca99af8cacdbea!8m2!3d19.0401059!4d73.0176641!16s%2Fg%2F11c2qpjp0n!19sChIJCxdV6EbD5zsR6tusjK-ZypE?authuser=0&amp;hl=en&amp;rclk=1</t>
  </si>
  <si>
    <t>Sparsh Skin and Hair Cosmetology Center</t>
  </si>
  <si>
    <t>Shop No. 269, Road, Sector 6 Kopar Khairane Rd, near Shivshakti stores, near Police Station</t>
  </si>
  <si>
    <t>+91 77383 81897</t>
  </si>
  <si>
    <t>"This</t>
  </si>
  <si>
    <t></t>
  </si>
  <si>
    <t>https://www.sparshskinclinics.com/</t>
  </si>
  <si>
    <t>General practitioner</t>
  </si>
  <si>
    <t>Shop Number E1 /1 C 4, next to Sai Baba Hotel</t>
  </si>
  <si>
    <t>+91 98210 39426</t>
  </si>
  <si>
    <t>"Diagnosis was on point and</t>
  </si>
  <si>
    <t>was very  effective"</t>
  </si>
  <si>
    <t>https://myheartclinics.com/index.php</t>
  </si>
  <si>
    <t>and staff are professional and knowledgeable about hair."</t>
  </si>
  <si>
    <t>https://www.google.com/maps/place/Roselle+Skin+Clinic/data=!4m7!3m6!1s0x3be7c3d3d69e366f:0xa86c4b8733e4ee99!8m2!3d19.037539!4d73.0189684!16s%2Fg%2F11yjn3xyt5!19sChIJbzae1tPD5zsRme7kM4dLbKg?authuser=0&amp;hl=en&amp;rclk=1</t>
  </si>
  <si>
    <t>Dr Ghogare's</t>
  </si>
  <si>
    <t>https://www.instagram.com/myheartclinics</t>
  </si>
  <si>
    <t>https://www.google.com/maps/place/Dr+Ghogare%27s/data=!4m7!3m6!1s0x3be7c331998fcdeb:0xfd98877b283a9f5e!8m2!3d19.0250148!4d73.0223871!16s%2Fg%2F11h54x3yfp!19sChIJ682PmTHD5zsRXp86KHuHmP0?authuser=0&amp;hl=en&amp;rclk=1</t>
  </si>
  <si>
    <t>Roselle Skin Clinic</t>
  </si>
  <si>
    <t>SHOP GR-9, Laxcon Plaza, PL-20;21</t>
  </si>
  <si>
    <t>+91 84509 59496</t>
  </si>
  <si>
    <t>https://www.roselleskinclinic.com/</t>
  </si>
  <si>
    <t>1st Floor, Haware Centurion, F-2, near Seawoods Station Road</t>
  </si>
  <si>
    <t>+91 90281 70123</t>
  </si>
  <si>
    <t>https://www.drjairajshospital.com/</t>
  </si>
  <si>
    <t>were incredibly professional and knowledgeable."</t>
  </si>
  <si>
    <t>https://www.google.com/maps/place/Restore+Aesthetic+Clinic/data=!4m7!3m6!1s0x3be7c3c0b8bf2fc3:0x6a79483b3aa2c9fc!8m2!3d19.0310537!4d73.0217795!16s%2Fg%2F11ryd8kgq5!19sChIJwy-_uMDD5zsR_MmiOjtIeWo?authuser=0&amp;hl=en&amp;rclk=1</t>
  </si>
  <si>
    <t>Dr Jairajs Hospital</t>
  </si>
  <si>
    <t>https://www.google.com/maps/place/Dr+Jairajs+Hospital/data=!4m7!3m6!1s0x3be7c3ad73247343:0x7957b177cdfbb2a9!8m2!3d19.0252216!4d73.041946!16s%2Fg%2F1tg_dh_c!19sChIJQ3Mkc63D5zsRqbL7zXexV3k?authuser=0&amp;hl=en&amp;rclk=1</t>
  </si>
  <si>
    <t>Restore Aesthetic Clinic</t>
  </si>
  <si>
    <t>4th Floor- Block no-401-Doctors House.Plot-101, Sector 21, Landmark:, behind D’Mart, behind DMart</t>
  </si>
  <si>
    <t>+91 86920 99967</t>
  </si>
  <si>
    <t>2nd Floor, Om Chanakya Complex</t>
  </si>
  <si>
    <t>+91 70450 11188</t>
  </si>
  <si>
    <t>is clean and well - managed , Thank You for all care and support"</t>
  </si>
  <si>
    <t>https://www.restoreclinics.in/</t>
  </si>
  <si>
    <t>https://www.google.com/aclk?sa=L&amp;ai=DChsSEwjY_q3l5-OVAxXQhWYCHQ6GN9gYACICCAEQAhoCc20&amp;co=1&amp;ase=2&amp;gclid=CjwKCAjwsfzSBhB5EiwAOGyqScQrE05nG84DLc6zM3CT0ECLsZPDstKPGssFpOVH50_pSqQpix5jAhoChTM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2DBhIsv40g5AAZmcura5Ue0IhxNw&amp;adurl&amp;q&amp;ctype=99&amp;nis=6</t>
  </si>
  <si>
    <t>is modern, hygienic, and equipped with the latest technology."</t>
  </si>
  <si>
    <t>https://www.google.com/maps/place/Om+Clinic/data=!4m7!3m6!1s0x3be7c1316a7f9e77:0xcab164d190041735!8m2!3d19.080912!4d73.0004416!16s%2Fg%2F11tx_y_c22!19sChIJd55_ajHB5zsRNRcEkNFksco?authuser=0&amp;hl=en&amp;rclk=1</t>
  </si>
  <si>
    <t>"Staff is supportive, rooms are clean, and was affordable."</t>
  </si>
  <si>
    <t>Om Clinic</t>
  </si>
  <si>
    <t>Sector 15, Vashi, A8-1, Maratha Bhavan Marg, Juhu Nagar, Navi</t>
  </si>
  <si>
    <t>Dr Karve's Dentech</t>
  </si>
  <si>
    <t>https://www.google.com/maps/place/Dr+Karve%27s+Dentech/data=!4m7!3m6!1s0x3be7c7e6674bdb77:0x5a92f706cb9de866!8m2!3d19.118699!4d72.916476!16s%2Fg%2F11clyc21yl!19sChIJd9tLZ-bH5zsRZuidywb3klo?authuser=0&amp;hl=en&amp;rclk=1</t>
  </si>
  <si>
    <t>+91 76667 62557</t>
  </si>
  <si>
    <t>https://www.google.com/maps/place/CLINIC/data=!4m7!3m6!1s0x3be7c12073549679:0xd6faf8e891d267c0!8m2!3d21.0680074!4d82.7525294!16s%2Fg%2F11mlsbg5n7!19sChIJeZZUcyDB5zsRwGfSkej4-tY?authuser=0&amp;hl=en&amp;rclk=1</t>
  </si>
  <si>
    <t>besides akshardham temple</t>
  </si>
  <si>
    <t>CLINIC</t>
  </si>
  <si>
    <t>022 2570 4247</t>
  </si>
  <si>
    <t>"It provided me a long-term relief."</t>
  </si>
  <si>
    <t>https://onehealthclinicmumbai.com/</t>
  </si>
  <si>
    <t>+91 72648 62656</t>
  </si>
  <si>
    <t>https://www.google.com/maps/place/SHIFA+CLINIC+%26+HIJAMA+CENTER+%28DR+MOHD+ALIM%29/data=!4m7!3m6!1s0x3be7c3c395231817:0x9d389d4e4eeb3d10!8m2!3d19.036286!4d73.0214383!16s%2Fg%2F11tcwlhwgn!19sChIJFxgjlcPD5zsRED3rTk6dOJ0?authuser=0&amp;hl=en&amp;rclk=1</t>
  </si>
  <si>
    <t>Dr Madhav Dawkore – Pulmonologist &amp; Allergy Specialist Navi mumbai</t>
  </si>
  <si>
    <t>https://www.google.com/maps/place/Dr+Madhav+Dawkore+%E2%80%93+Pulmonologist+%26+Allergy+Specialist+Navi+mumbai/data=!4m7!3m6!1s0x3be7c38546bb6453:0x67973f0a6aee839d!8m2!3d19.0505159!4d73.0161525!16s%2Fg%2F11t2t_f_pd!19sChIJU2S7RoXD5zsRnYPuago_l2c?authuser=0&amp;hl=en&amp;rclk=1</t>
  </si>
  <si>
    <t>SHIFA CLINIC &amp; HIJAMA CENTER (DR MOHD ALIM)</t>
  </si>
  <si>
    <t>GANGA JAMUNA APARTMENT, NL2 Rd</t>
  </si>
  <si>
    <t>+91 96519 81942</t>
  </si>
  <si>
    <t>"Dr Alim Is So Friendly.Her</t>
  </si>
  <si>
    <t>Treatment</t>
  </si>
  <si>
    <t>Pulmonologist</t>
  </si>
  <si>
    <t>Style is so different ."</t>
  </si>
  <si>
    <t>Vikram Plaza, Plot no 10</t>
  </si>
  <si>
    <t>+91 95941 97549</t>
  </si>
  <si>
    <t>https://www.google.com/maps/place/TAWTE+clinic/data=!4m7!3m6!1s0x3be7c309ac054a59:0x615528e027fbdf20!8m2!3d19.0291268!4d73.0231878!16s%2Fg%2F11fk1410nx!19sChIJWUoFrAnD5zsRIN_7J-AoVWE?authuser=0&amp;hl=en&amp;rclk=1</t>
  </si>
  <si>
    <t>is friendly, and the office is clean."</t>
  </si>
  <si>
    <t>https://www.drmaheshghogare.com/</t>
  </si>
  <si>
    <t>Dr Mahesh Ghogare, BEST CARDIOLOGIST in Navi Mumbai, Interventional Cardiologist Navi Mumbai, TAVI / TAVR in Navi Mumbai</t>
  </si>
  <si>
    <t>TAWTE clinic</t>
  </si>
  <si>
    <t>https://www.google.com/maps/place/Dr+Mahesh+Ghogare,+BEST+CARDIOLOGIST+in+Navi+Mumbai,+Interventional+Cardiologist+Navi+Mumbai,+TAVI+%2F+TAVR+in+Navi+Mumbai/data=!4m7!3m6!1s0x3be7c142b0000001:0x9289e16f76d9552c!8m2!3d19.0246581!4d73.0222576!16s%2Fg%2F11hbdqx50v!19sChIJAQAAsELB5zsRLFXZdm_hiZI?authuser=0&amp;hl=en&amp;rclk=1</t>
  </si>
  <si>
    <t>Gastrointestinal surgeon</t>
  </si>
  <si>
    <t>Shop No. 1, Himsagar CHS, Plot No. 67 &amp; 68</t>
  </si>
  <si>
    <t>+91 93232 28892</t>
  </si>
  <si>
    <t>"Dr. Nitin Tawte combines expertise and a willingness to listen and discuss."</t>
  </si>
  <si>
    <t>Cardiologist</t>
  </si>
  <si>
    <t>My Heart Clinics, F 02, First Floor, Haware's Centurion, near Seawoods Station</t>
  </si>
  <si>
    <t>"Dr. Harshad is really good at diagnosing the issue."</t>
  </si>
  <si>
    <t>Dr Modak's Harmony Homoeopathic Clinic</t>
  </si>
  <si>
    <t>https://www.google.com/maps/place/Dr+Modak%27s+Harmony+Homoeopathic+Clinic/data=!4m7!3m6!1s0x3be7c371d7cc6ab3:0x54f5a88bb02c46cd!8m2!3d19.0227311!4d73.0211799!16s%2Fg%2F11ghpzk27l!19sChIJs2rM13HD5zsRzUYssIuo9VQ?authuser=0&amp;hl=en&amp;rclk=1</t>
  </si>
  <si>
    <t>"He is truly blessed with excellent skills and clinical knowledge."</t>
  </si>
  <si>
    <t>CHS, Shop 01B, opp. Millenium Park Garden</t>
  </si>
  <si>
    <t>"Staff is friendly and understanding, is performed accurately."</t>
  </si>
  <si>
    <t>https://www.google.com/maps/place/Sai+Clinic/data=!4m7!3m6!1s0x3be7c3ea1fe82e29:0xcd08ba9e0de631df!8m2!3d19.0349762!4d73.0153322!16s%2Fg%2F1pp2tyy6x!19sChIJKS7oH-rD5zsR3zHmDZ66CM0?authuser=0&amp;hl=en&amp;rclk=1</t>
  </si>
  <si>
    <t>+91 98337 15477</t>
  </si>
  <si>
    <t>"Good</t>
  </si>
  <si>
    <t>."</t>
  </si>
  <si>
    <t>https://arogyabhet.com/</t>
  </si>
  <si>
    <t>Sai Clinic</t>
  </si>
  <si>
    <t>2, Nerul Village Rd</t>
  </si>
  <si>
    <t>Dr Nagarekar Atharva Ayurveda clinic</t>
  </si>
  <si>
    <t>https://www.instagram.com/arogyabhet</t>
  </si>
  <si>
    <t>+91 98920 01920</t>
  </si>
  <si>
    <t>https://www.google.com/maps/place/Dr.Garje+Ayurved+Clinic+%26+Panchakarma+Centre/data=!4m7!3m6!1s0x3be7c3c1e2cd4725:0xe3749dd4caa1bd0a!8m2!3d19.0343512!4d73.0169596!16s%2Fg%2F1hc8421c4!19sChIJJUfN4sHD5zsRCr2hytSddOM?authuser=0&amp;hl=en&amp;rclk=1</t>
  </si>
  <si>
    <t>https://www.google.com/maps/place/Dr+Nagarekar+Atharva+Ayurveda+clinic/data=!4m7!3m6!1s0x3be7c34e2ebae60b:0xf2affcd51305bbe6!8m2!3d19.0403047!4d73.0152992!16s%2Fg%2F11h08dmsz8!19sChIJC-a6Lk7D5zsR5rsFE9X8r_I?authuser=0&amp;hl=en&amp;rclk=1</t>
  </si>
  <si>
    <t>"Diagnosis was on point and was very effective"</t>
  </si>
  <si>
    <t>Dr.Garje Ayurved Clinic &amp; Panchakarma Centre</t>
  </si>
  <si>
    <t>A203, A-Wing, 2nd Floor Om Shivam Centre building , Sector20A, &amp;, Railway Station Rd, above Akash Institute, near LIC of India office</t>
  </si>
  <si>
    <t>+91 86521 00501</t>
  </si>
  <si>
    <t>Plot no. 29, 105, sector 10, near sarsole depot</t>
  </si>
  <si>
    <t>+91 77770 70531</t>
  </si>
  <si>
    <t>"I came in with severe pain, and I’m leaving with incredible results."</t>
  </si>
  <si>
    <t>https://www.drgarjeayurved.com/</t>
  </si>
  <si>
    <t>Dr Omkar Mate's Midas Clinic</t>
  </si>
  <si>
    <t>https://www.google.com/maps/place/Dr+Omkar+Mate%27s+Midas+Clinic/data=!4m7!3m6!1s0x3be7c385d4d7de89:0x65fcbd4711f70a25!8m2!3d19.0332773!4d73.0180734!16s%2Fg%2F11gmg60rsv!19sChIJid7X1IXD5zsRJQr3EUe9_GU?authuser=0&amp;hl=en&amp;rclk=1</t>
  </si>
  <si>
    <t>is clean, calming, and the staff is very professional."</t>
  </si>
  <si>
    <t>https://www.google.com/maps/place/Dr.+Shraddha+Patil+-+PHYSIOTHERAPY+CLINIC+in+Belapur,+Navi+Mumbai,+Best+Physiotherapist+in+Seawoods,+Nerul,+Navi+Mumbai/data=!4m7!3m6!1s0x3be7c326a9de510f:0xaaa49ab28cdc4da8!8m2!3d19.0302065!4d73.0429263!16s%2Fg%2F11rv8051gh!19sChIJD1HeqSbD5zsRqE3cjLKapKo?authuser=0&amp;hl=en&amp;rclk=1</t>
  </si>
  <si>
    <t>Station Complex, E102, Mata Amritanandamayi Marg</t>
  </si>
  <si>
    <t>+91 91673 59313</t>
  </si>
  <si>
    <t>On-site services</t>
  </si>
  <si>
    <t>Dr. Shraddha Patil - PHYSIOTHERAPY CLINIC in Belapur, Navi Mumbai, Best Physiotherapist in Seawoods, Nerul, Navi Mumbai</t>
  </si>
  <si>
    <t>Shop No. 46/47, Arenja Complex</t>
  </si>
  <si>
    <t>+91 86001 42241</t>
  </si>
  <si>
    <t>https://www.drshraddhapatil.com/</t>
  </si>
  <si>
    <t>https://www.drpoojabansal.com/</t>
  </si>
  <si>
    <t>Dr Pooja Bansal</t>
  </si>
  <si>
    <t>https://www.instagram.com/drpoojabansal</t>
  </si>
  <si>
    <t>https://www.google.com/maps/place/Dr+Pooja+Bansal/data=!4m7!3m6!1s0x3be7c3c6b6dc9349:0x103422387181eb13!8m2!3d19.0274048!4d73.0231625!16s%2Fg%2F11hzxf985w!19sChIJSZPctsbD5zsRE-uBcTgiNBA?authuser=0&amp;hl=en&amp;rclk=1</t>
  </si>
  <si>
    <t>"The is clean and well - managed , Thank You for all care and support"</t>
  </si>
  <si>
    <t>Obstetrician-gynecologist</t>
  </si>
  <si>
    <t>+91 70453 13773</t>
  </si>
  <si>
    <t>https://www.google.com/maps/place/Hridaya+Navjeevanlaya+Clinic+%7C+Dr+Bhasker+Semitha+%7C+CVTS+Surgeon+%7CNerul+East,+Navi+Mumbai/data=!4m7!3m6!1s0x3be7c3fe31da7e97:0xbdfafc351fa089d4!8m2!3d19.0378034!4d73.0189377!16s%2Fg%2F11js9tf2pb!19sChIJl37aMf7D5zsR1ImgHzX8-r0?authuser=0&amp;hl=en&amp;rclk=1</t>
  </si>
  <si>
    <t>Dr Rahul Bhatambre</t>
  </si>
  <si>
    <t>https://www.google.com/maps/place/Dr+Rahul+Bhatambre/data=!4m7!3m6!1s0x3be7c26a3fe726fb:0x9f05e057e93983a9!8m2!3d19.0334848!4d73.0655577!16s%2Fg%2F11c74_7fjp!19sChIJ-ybnP2rC5zsRqYM56VfgBZ8?authuser=0&amp;hl=en&amp;rclk=1</t>
  </si>
  <si>
    <t>Hridaya Navjeevanlaya Clinic | Dr Bhasker Semitha | CVTS Surgeon |Nerul East, Navi Mumbai</t>
  </si>
  <si>
    <t>Cardiovascular and thoracic surgeon</t>
  </si>
  <si>
    <t>Psychiatrist</t>
  </si>
  <si>
    <t>Second Floor ,Shop No 6 and 7, Mansparsh Clinic, Hiranandani Crystal Plaza</t>
  </si>
  <si>
    <t>+91 77382 05586</t>
  </si>
  <si>
    <t>Shop No. 1, Laxcon Plaza, Plot No. 20–21, below Sai Asha Hospital, near Indian Bank</t>
  </si>
  <si>
    <t>+91 86550 73438</t>
  </si>
  <si>
    <t>https://drrajaeyecare.com/</t>
  </si>
  <si>
    <t>"The advice given was practical, easy to understand, and very well explained."</t>
  </si>
  <si>
    <t>https://hridayanavjeevanalaya.com/</t>
  </si>
  <si>
    <t>Dr Raja</t>
  </si>
  <si>
    <t>https://www.instagram.com/drrajaeyecare</t>
  </si>
  <si>
    <t>https://www.google.com/maps/place/Dr+Raja/data=!4m7!3m6!1s0x3be7c717d4113341:0x5a2dbcad616792fc!8m2!3d19.0365259!4d73.017463!16s%2Fg%2F11fkhdl2g6!19sChIJQTMR1BfH5zsR_JJnYa28LVo?authuser=0&amp;hl=en&amp;rclk=1</t>
  </si>
  <si>
    <t>"The is friendly, and the office is clean."</t>
  </si>
  <si>
    <t>Office 2,3 1st floor, good will building, Station Road</t>
  </si>
  <si>
    <t>+91 81044 41581</t>
  </si>
  <si>
    <t>"Medical facilities are modern, and the staff is professional and supportive."</t>
  </si>
  <si>
    <t>· 7 PM · Opens 9 AM Wed</t>
  </si>
  <si>
    <t>Dr Rajendra Patil.Clinic.</t>
  </si>
  <si>
    <t>https://www.google.com/maps/place/Dr+Rajendra+Patil.Clinic./data=!4m7!3m6!1s0x3be7c391b825dab5:0x7c8e84734ab868ca!8m2!3d19.037853!4d73.01539!16s%2Fg%2F11t5jdl1sh!19sChIJtdoluJHD5zsRymi4SnOEjnw?authuser=0&amp;hl=en&amp;rclk=1</t>
  </si>
  <si>
    <t>20.A, 4, West</t>
  </si>
  <si>
    <t>+91 98202 59594</t>
  </si>
  <si>
    <t>"Significant relief from</t>
  </si>
  <si>
    <t>https://drsambhajipatil.com/</t>
  </si>
  <si>
    <t>Dr Sambhaji Patil</t>
  </si>
  <si>
    <t>https://www.google.com/maps/place/Dr+Sambhaji+Patil/data=!4m7!3m6!1s0x3be7c365162311a5:0xbde12e5eb31f42dd!8m2!3d19.0385757!4d73.0202885!16s%2Fg%2F11nfw46299!19sChIJpREjFmXD5zsR3UIfs14u4b0?authuser=0&amp;hl=en&amp;rclk=1</t>
  </si>
  <si>
    <t>F2 , Second Floor, Devdarshan Apartment, B 3/2, Aadi Shankracharya Marg, above VIP Showroom</t>
  </si>
  <si>
    <t>+91 85914 20077</t>
  </si>
  <si>
    <t>"</t>
  </si>
  <si>
    <t>was painless and well explained."</t>
  </si>
  <si>
    <t>http://drsangani.in/</t>
  </si>
  <si>
    <t>Dr Sangani Diagnostic Centre</t>
  </si>
  <si>
    <t>https://www.google.com/maps/place/Dr+Sangani+Diagnostic+Centre/data=!4m7!3m6!1s0x3be7c3c151abb75d:0x8933c9d50912ed4b!8m2!3d19.0386897!4d73.0202252!16s%2Fg%2F1tr7b8cy!19sChIJXberUcHD5zsRS-0SCdXJM4k?authuser=0&amp;hl=en&amp;rclk=1</t>
  </si>
  <si>
    <t>"Good ."</t>
  </si>
  <si>
    <t>Diagnostic center</t>
  </si>
  <si>
    <t>F2 / B2, First Floor, Jagatguru Aadi Shankracharya Marg, above VIP Shop, opp. Taxi Stand</t>
  </si>
  <si>
    <t>+91 93230 65562</t>
  </si>
  <si>
    <t>Dr Sangram Karandikar</t>
  </si>
  <si>
    <t>https://www.google.com/maps/place/Dr+Sangram+Karandikar/data=!4m7!3m6!1s0x3be7c3bf00bcf087:0x94fd9b290aa28882!8m2!3d19.0269818!4d73.0199724!16s%2Fg%2F113hgr1v1!19sChIJh_C8AL_D5zsRgoiiCimb_ZQ?authuser=0&amp;hl=en&amp;rclk=1</t>
  </si>
  <si>
    <t>https://www.google.com/maps/place/Dr.+Gajanan+Clinic/data=!4m7!3m6!1s0x3be7c2132d42033b:0x7421970f82a8164a!8m2!3d19.0343782!4d73.0720773!16s%2Fg%2F11s8zckpkh!19sChIJOwNCLRPC5zsRShaogg-XIXQ?authuser=0&amp;hl=en&amp;rclk=1</t>
  </si>
  <si>
    <t>Surgeon</t>
  </si>
  <si>
    <t>1st Floor, 2, Amba Marg</t>
  </si>
  <si>
    <t>Dr. Gajanan Clinic</t>
  </si>
  <si>
    <t>Dr Sonam's Skin Clinic</t>
  </si>
  <si>
    <t>https://www.google.com/maps/place/Dr+Sonam%27s+Skin+Clinic/data=!4m7!3m6!1s0x3be7c3c205a51029:0x1989c37affdb48bc!8m2!3d19.0362336!4d73.0125649!16s%2Fg%2F11n0899_r6!19sChIJKRClBcLD5zsRvEjb_3rDiRk?authuser=0&amp;hl=en&amp;rclk=1</t>
  </si>
  <si>
    <t>+91 99679 26475</t>
  </si>
  <si>
    <t>"I highly recommend the dr."</t>
  </si>
  <si>
    <t>https://www.google.com/maps/place/Rivo+Skin+Care+Clinic+-+Laser+Hair+Removal+and+Dermatologist+in+Seawoods,+Navi+Mumbai/data=!4m7!3m6!1s0x3be7c3994cdc5325:0x1a3416050ec0c003!8m2!3d19.0116659!4d73.0120266!16s%2Fg%2F11gd1_dbz9!19sChIJJVPcTJnD5zsRA8DADgUWNBo?authuser=0&amp;hl=en&amp;rclk=1</t>
  </si>
  <si>
    <t>1st floor, west, above Jinaam mall, next to Poonam Tower</t>
  </si>
  <si>
    <t>+91 70211 83353</t>
  </si>
  <si>
    <t>Rivo Skin Care Clinic - Laser Hair Removal and Dermatologist in Seawoods, Navi Mumbai</t>
  </si>
  <si>
    <t>12, Dhara Complex</t>
  </si>
  <si>
    <t>+91 88506 61962</t>
  </si>
  <si>
    <t>https://www.rivoskin.com/</t>
  </si>
  <si>
    <t>https://www.instagram.com/drsureshadediabetologist</t>
  </si>
  <si>
    <t>is clean, well-maintained, and the staff is always welcoming."</t>
  </si>
  <si>
    <t>https://www.google.com/maps/place/Twacham+skin+clinic/data=!4m7!3m6!1s0x3be7c3261be1f0a9:0x57f040aac47d1323!8m2!3d19.0325195!4d73.0165992!16s%2Fg%2F11p0zbt431!19sChIJqfDhGybD5zsRIxN9xKpA8Fc?authuser=0&amp;hl=en&amp;rclk=1</t>
  </si>
  <si>
    <t>Twacham skin clinic</t>
  </si>
  <si>
    <t>Shop no B21 Amrita Sadan Sector 22, near old Dwarka Veg restaurant</t>
  </si>
  <si>
    <t>Dr Swetha Shetty- Siddhant Clinic</t>
  </si>
  <si>
    <t>https://www.google.com/maps/place/Dr+Swetha+Shetty-+Siddhant+Clinic/data=!4m7!3m6!1s0x3be7c38d78f769df:0x38210c944e9febd3!8m2!3d19.0302055!4d73.0254726!16s%2Fg%2F11xvbdq04d!19sChIJ32n3eI3D5zsR0-ufTpQMITg?authuser=0&amp;hl=en&amp;rclk=1</t>
  </si>
  <si>
    <t>https://www.google.com/maps/place/Dr.+Neetu/data=!4m7!3m6!1s0x3be7c135f8a410e1:0xbefef6095a5f19be!8m2!3d19.0725692!4d72.9982326!16s%2Fg%2F11c31vp84v!19sChIJ4RCk-DXB5zsRvhlfWgn2_r4?authuser=0&amp;hl=en&amp;rclk=1</t>
  </si>
  <si>
    <t>"Clean , smooth consultation process, and a comfortable atmosphere."</t>
  </si>
  <si>
    <t>Shop no 17, Lenyadri Cooperative Housing Society, Plot no 47/1</t>
  </si>
  <si>
    <t>Dr. Neetu</t>
  </si>
  <si>
    <t>"I came painless &amp; left for home post surgery painless."</t>
  </si>
  <si>
    <t>https://www.apollohospitals.com/doctors/interventional-cardiologist/mumbai/dr-brajesh-kumar-kunwar</t>
  </si>
  <si>
    <t>Office no 8, 3rd floor, Shanti Center Building, near Navratna Hotel</t>
  </si>
  <si>
    <t>https://skinhance.co.in/</t>
  </si>
  <si>
    <t>Dr. Brajesh Kumar Kunwar - Best Interventional Cardiologist in Navi Mumbai | Apollo Hospitals</t>
  </si>
  <si>
    <t>https://www.google.com/maps/place/Dr.+Brajesh+Kumar+Kunwar+-+Best+Interventional+Cardiologist+in+Navi+Mumbai+%7C+Apollo+Hospitals/data=!4m7!3m6!1s0x3be7c3a055555515:0x3c3f37526a90656a!8m2!3d19.020638!4d73.0291831!16s%2Fg%2F11fz6v4bxx!19sChIJFVVVVaDD5zsRamWQalI3Pzw?authuser=0&amp;hl=en&amp;rclk=1</t>
  </si>
  <si>
    <t>was always clean and well-organized."</t>
  </si>
  <si>
    <t>https://www.google.com/maps/place/New+skin+elixir+Skin+Clinic+In+Seawoods+Navi+Mumbai/data=!4m7!3m6!1s0x3be7c351bf1d0ca7:0xdab05449f4b8d65c!8m2!3d19.0125213!4d73.0229314!16s%2Fg%2F11tjlrz3yp!19sChIJpwwdv1HD5zsRXNa49ElUsNo?authuser=0&amp;hl=en&amp;rclk=1</t>
  </si>
  <si>
    <t>Apollo Hospitals, Parsik Hill Rd, off Uran Road</t>
  </si>
  <si>
    <t>New skin elixir Skin Clinic In Seawoods Navi Mumbai</t>
  </si>
  <si>
    <t>"Their timely decisions, expertise, and compassionate care saved my life."</t>
  </si>
  <si>
    <t>Shop No. 5 &amp; 6, Ground Floor Sitai Vihar Co-operative Housing Society Ltd Plot no: 67 - A, Opp EV Homes Orion, Sector - 50, New Seawoods</t>
  </si>
  <si>
    <t>+91 91378 02933</t>
  </si>
  <si>
    <t>https://newskinelixir.com/</t>
  </si>
  <si>
    <t>https://www.instagram.com/divyashreeidclinic</t>
  </si>
  <si>
    <t>is clean, well-equipped, and punctual with appointments."</t>
  </si>
  <si>
    <t>https://www.google.com/maps/place/Dr.+Janugade%E2%80%99s+Ayurveda/data=!4m7!3m6!1s0x3be7c12f3ddcfffb:0x5a4c2617fe33ba6a!8m2!3d19.0907804!4d73.0051462!16s%2Fg%2F1tgdm0j9!19sChIJ-__cPS_B5zsRaroz_hcmTFo?authuser=0&amp;hl=en&amp;rclk=1</t>
  </si>
  <si>
    <t>Dr. Janugade’s Ayurveda</t>
  </si>
  <si>
    <t>Flat No 11, Siddharth Plot Number 183, opposite Blue Diamond Hotel</t>
  </si>
  <si>
    <t>+91 99303 06389</t>
  </si>
  <si>
    <t>https://www.drjanugades.com/</t>
  </si>
  <si>
    <t>https://drjainsdentalstudio.com/</t>
  </si>
  <si>
    <t>really listens and creates a plan tailored to your needs."</t>
  </si>
  <si>
    <t>Dr. Jain's Dental &amp; Health Studio</t>
  </si>
  <si>
    <t>https://www.instagram.com/drjainsdentalstudio</t>
  </si>
  <si>
    <t>https://www.google.com/maps/place/Dr.+Jain%27s+Dental+%26+Health+Studio/data=!4m7!3m6!1s0x3be7c127bcb832fd:0xf0f9e04a5796e469!8m2!3d19.0956067!4d73.0073283!16s%2Fg%2F11d_9d67l2!19sChIJ_TK4vCfB5zsRaeSWV0rg-fA?authuser=0&amp;hl=en&amp;rclk=1</t>
  </si>
  <si>
    <t>Shop No. 9 &amp; 10, RAMCHANDRA NIWAS, 400709</t>
  </si>
  <si>
    <t>+91 80970 40495</t>
  </si>
  <si>
    <t>is well-maintained, and the staff is very supportive."</t>
  </si>
  <si>
    <t>https://www.google.com/maps/place/Dr.Rahul+Jagtap+%7C+Orthopedic+Surgeon+in+Navi+Mumbai+%7C+Platinum+Ortho+Clinic/data=!4m7!3m6!1s0x3be7c3c0a358b65f:0x47129d144b2b87e7!8m2!3d19.0297274!4d73.0254862!16s%2Fg%2F11mlfzq0tt!19sChIJX7ZYo8DD5zsR54crSxSdEkc?authuser=0&amp;hl=en&amp;rclk=1</t>
  </si>
  <si>
    <t>"Significant relief from ."</t>
  </si>
  <si>
    <t>Dr.Rahul Jagtap | Orthopedic Surgeon in Navi Mumbai | Platinum Ortho Clinic</t>
  </si>
  <si>
    <t>Orthopedic surgeon</t>
  </si>
  <si>
    <t>Shop No-7, Platinum Ortho Clinic Advanced Orthopedic, Xray &amp; Pathology, Lenyadri-2 CHSL, Sector 19A Nerul Rd</t>
  </si>
  <si>
    <t>https://www.drkalpeshmande.com/</t>
  </si>
  <si>
    <t>+91 97131 33555</t>
  </si>
  <si>
    <t>https://www.drrahulorthocare.com/</t>
  </si>
  <si>
    <t>Dr. Kalpesh Mande Ayurvedic &amp; Physiotherapy Clinic</t>
  </si>
  <si>
    <t>https://www.google.com/maps/place/Dr.+Kalpesh+Mande+Ayurvedic+%26+Physiotherapy+Clinic/data=!4m7!3m6!1s0x3be7c1318fb00e69:0xf8bfe3bf2c3b161!8m2!3d19.0821344!4d72.9994654!16s%2Fg%2F11fzf4p481!19sChIJaQ6wjzHB5zsRYbHD8jv-iw8?authuser=0&amp;hl=en&amp;rclk=1</t>
  </si>
  <si>
    <t>provided was excellent and effective."</t>
  </si>
  <si>
    <t>https://www.google.com/maps/place/Dr.Shende+Homoeopathic+Clinic/data=!4m7!3m6!1s0x3be7c3c232d64ab7:0x984a5ae1573b328a!8m2!3d19.0364007!4d73.0200049!16s%2Fg%2F11cmdfj53y!19sChIJt0rWMsLD5zsRijI7V-FaSpg?authuser=0&amp;hl=en&amp;rclk=1</t>
  </si>
  <si>
    <t>" was painless and well explained."</t>
  </si>
  <si>
    <t>B2, First Floor, Rainbow Shop &amp; Owners Association, F-Type Building, above Shiv Krupa Sweets, near Bikaner</t>
  </si>
  <si>
    <t>+91 70213 53437</t>
  </si>
  <si>
    <t>https://drmadhavimd.com/</t>
  </si>
  <si>
    <t>Dr.Shende Homoeopathic Clinic</t>
  </si>
  <si>
    <t>NL 2 33 B 4, Sector 15 main station road Navi Mumbai</t>
  </si>
  <si>
    <t>+91 98198 25258</t>
  </si>
  <si>
    <t>Dr. Kshitij Thoke</t>
  </si>
  <si>
    <t>"Treated me for my migrain issues effectively."</t>
  </si>
  <si>
    <t>https://www.google.com/maps/place/Dr.+Kshitij+Thoke/data=!4m7!3m6!1s0x3be7c217f42b6fc7:0xa25bbaa26d3e13bb!8m2!3d19.0469748!4d73.0700633!16s%2Fg%2F11b7tyswsm!19sChIJx28r9BfC5zsRuxM-baK6W6I?authuser=0&amp;hl=en&amp;rclk=1</t>
  </si>
  <si>
    <t>https://www.google.com/maps/place/Dr.+Sonal+Bansal-+Orthopedic+Doctor+-+Nerul+Navi+Mumbai/data=!4m7!3m6!1s0x3be7c3c3ffffff97:0xd82ee1a7e3b2579!8m2!3d19.0274177!4d73.023155!16s%2Fg%2F11cmcyw79m!19sChIJl____8PD5zsReSU7fhrugg0?authuser=0&amp;hl=en&amp;rclk=1</t>
  </si>
  <si>
    <t>The Pacific, 1101 and 1102, Shilp Chowk</t>
  </si>
  <si>
    <t>Dr. Sonal Bansal- Orthopedic Doctor - Nerul Navi Mumbai</t>
  </si>
  <si>
    <t>+91 98203 28487</t>
  </si>
  <si>
    <t>and their staff are extremely friendly and professional."</t>
  </si>
  <si>
    <t>Orthopedic clinic</t>
  </si>
  <si>
    <t>Shop No 1, Hem Prabat CHS Plot No. 72, opposite Shankaracharya Garden</t>
  </si>
  <si>
    <t>Closed</t>
  </si>
  <si>
    <t>Dr. Marwa Deshmukh | MD Dermatology &amp; Venereal Diseases | Navi Mumbai</t>
  </si>
  <si>
    <t>https://www.instagram.com/bodysculptclinic</t>
  </si>
  <si>
    <t>https://www.drsbansal.com/</t>
  </si>
  <si>
    <t>https://www.google.com/maps/place/Dr.+Marwa+Deshmukh+%7C+MD+Dermatology+%26+Venereal+Diseases+%7C+Navi+Mumbai/data=!4m7!3m6!1s0x3be7c328737d0557:0xb9b90db7c42db6b8!8m2!3d19.0365552!4d73.0222877!16s%2Fg%2F11n541zw8k!19sChIJVwV9cyjD5zsRuLYtxLcNubk?authuser=0&amp;hl=en&amp;rclk=1</t>
  </si>
  <si>
    <t>· Opens 8:30 PM</t>
  </si>
  <si>
    <t>NL-4/1/3, opp. Shivaji Statue</t>
  </si>
  <si>
    <t>+91 80976 34572</t>
  </si>
  <si>
    <t>https://www.bodysculptclinic.in/</t>
  </si>
  <si>
    <t>"Only in 2 sessions, I feel much relieved and can see the difference."</t>
  </si>
  <si>
    <t>𝗗𝗿. 𝗡𝗲𝗲𝘁𝗮'𝘀 𝗕𝗼𝗱𝘆𝘀𝗰𝘂𝗹𝗽𝘁 𝗖𝗹𝗶𝗻𝗶𝗰</t>
  </si>
  <si>
    <t>https://www.instagram.com/skinhanceclinic</t>
  </si>
  <si>
    <t>https://www.google.com/maps/place/%F0%9D%97%97%F0%9D%97%BF.+%F0%9D%97%A1%F0%9D%97%B2%F0%9D%97%B2%F0%9D%98%81%F0%9D%97%AE%27%F0%9D%98%80+%F0%9D%97%95%F0%9D%97%BC%F0%9D%97%B1%F0%9D%98%86%F0%9D%98%80%F0%9D%97%B0%F0%9D%98%82%F0%9D%97%B9%F0%9D%97%BD%F0%9D%98%81+%F0%9D%97%96%F0%9D%97%B9%F0%9D%97%B6%F0%9D%97%BB%F0%9D%97%B6%F0%9D%97%B0/data=!4m7!3m6!1s0x3be7c31cd23bd707:0x95821035fd6ae1a8!8m2!3d19.0386174!4d73.0202805!16s%2Fg%2F11hzc8vzbk!19sChIJB9c70hzD5zsRqOFq_TUQgpU?authuser=0&amp;hl=en&amp;rclk=1</t>
  </si>
  <si>
    <t>Dietitian</t>
  </si>
  <si>
    <t>Second Floor, B3 F2, Jagatguru Aadi Shankracharya Marg, above VIP Showroom</t>
  </si>
  <si>
    <t>+91 93729 22067</t>
  </si>
  <si>
    <t>https://www.google.com/maps/place/Star+Heart+Clinic+-+Dr+Rakesh+Tirmale,+Cardiologist+Nerul+Navi+Mumbai/data=!4m7!3m6!1s0x3be7c3d5d828d4e5:0x980fae5edd0e7ef3!8m2!3d19.0474483!4d73.0190201!16s%2Fg%2F11ls2jzt3c!19sChIJ5dQo2NXD5zsR834O3V6uD5g?authuser=0&amp;hl=en&amp;rclk=1</t>
  </si>
  <si>
    <t>Star Heart Clinic - Dr Rakesh Tirmale, Cardiologist Nerul Navi Mumbai</t>
  </si>
  <si>
    <t>Shop no 5,ground floor, plot no 29M/S</t>
  </si>
  <si>
    <t>+91 79849 38807</t>
  </si>
  <si>
    <t>"He knowledge and skills are most refined."</t>
  </si>
  <si>
    <t>https://www.starheartclinic.co/</t>
  </si>
  <si>
    <t>http://www.svdayurved.com/</t>
  </si>
  <si>
    <t>"The only drawback of this</t>
  </si>
  <si>
    <t>Dr. Pratik M. Patil's, Shree Vishwa Dhanvantari Ayurved Chikitsalaya</t>
  </si>
  <si>
    <t>https://www.google.com/maps/place/Dr.+Pratik+M.+Patil%27s,+Shree+Vishwa+Dhanvantari+Ayurved+Chikitsalaya/data=!4m7!3m6!1s0x3be7c3bc3bf6a9ef:0xe985479b3c896555!8m2!3d19.0302183!4d73.0225182!16s%2Fg%2F1tj29gpf!19sChIJ76n2O7zD5zsRVWWJPJtHhek?authuser=0&amp;hl=en&amp;rclk=1</t>
  </si>
  <si>
    <t>are the receptionists."</t>
  </si>
  <si>
    <t>https://www.google.com/maps/place/Dr.+Shalin+Dubey,+Robotic+%26+Laparoscopic+Surgeon/data=!4m7!3m6!1s0x3be7c3b75c7e461f:0xf4ccfaf00a176c3a!8m2!3d19.0237437!4d73.0277338!16s%2Fg%2F11gfdbl3_z!19sChIJH0Z-XLfD5zsROmwXCvD6zPQ?authuser=0&amp;hl=en&amp;rclk=1</t>
  </si>
  <si>
    <t>Plot No. 16, Shree Vishwa Dhanvantari Ayurved Chikitsalaya, Flat No. 02, Sai Prem CHS, near Excel Pathology Lab</t>
  </si>
  <si>
    <t>+91 97622 24740</t>
  </si>
  <si>
    <t>Dr. Shalin Dubey, Robotic &amp; Laparoscopic Surgeon</t>
  </si>
  <si>
    <t>https://www.apollohospitals.com/doctors/medical-oncologist/mumbai/dr-salil-vijay-patkar</t>
  </si>
  <si>
    <t>plot no 13, off Uran Road</t>
  </si>
  <si>
    <t>+91 99208 53204</t>
  </si>
  <si>
    <t>https://www.drshalindubey.com/</t>
  </si>
  <si>
    <t>Dr. Salil Vijay Patkar - Best Medical Oncologist in Navi Mumbai | Apollo Hospital Navi Mumbai</t>
  </si>
  <si>
    <t>https://www.google.com/maps/place/Dr.+Salil+Vijay+Patkar+-+Best+Medical+Oncologist+in+Navi+Mumbai+%7C+Apollo+Hospital+Navi+Mumbai/data=!4m7!3m6!1s0x3be7c3b0e19e8f69:0xfc48289fde73f93d!8m2!3d19.0231511!4d73.0314235!16s%2Fg%2F11ft5v48j1!19sChIJaY-e4bDD5zsRPflz3p8oSPw?authuser=0&amp;hl=en&amp;rclk=1</t>
  </si>
  <si>
    <t>· Closes 7:30 PM</t>
  </si>
  <si>
    <t>Oncologist</t>
  </si>
  <si>
    <t>Apollo Hospitals, Plot # 13, Parsik Hill Rd, off Uran Road, opp. Nerul Wonders Park</t>
  </si>
  <si>
    <t>"In 24 hours I saw changes, 2% improvement in my symptoms."</t>
  </si>
  <si>
    <t>is very clean and well-maintained."</t>
  </si>
  <si>
    <t>https://www.google.com/maps/place/Kokilaben+Dhirubhai+Ambani+Hospital/data=!4m7!3m6!1s0x3be7c0de93e7897b:0x8b1917237744e89b!8m2!3d19.1029024!4d73.012937!16s%2Fg%2F11f4l9rq3d!19sChIJe4nnk97A5zsRm-hEdyMXGYs?authuser=0&amp;hl=en&amp;rclk=1</t>
  </si>
  <si>
    <t>https://www.drsandeeprai.com/</t>
  </si>
  <si>
    <t>"The is clean, peaceful, and welcoming, with very polite staff."</t>
  </si>
  <si>
    <t>Kokilaben Dhirubhai Ambani Hospital</t>
  </si>
  <si>
    <t>Dr. Sandeep Rai,</t>
  </si>
  <si>
    <t>https://www.instagram.com/drsandeeprai</t>
  </si>
  <si>
    <t>X8, X8 &amp;, 1, Thane - Belapur Rd, opp. Kopar Khairane Ghansoli Station Road</t>
  </si>
  <si>
    <t>+91 22 7197 9797</t>
  </si>
  <si>
    <t>https://www.google.com/maps/place/Dr.+Sandeep+Rai,/data=!4m7!3m6!1s0x3be7c3b76561a75f:0x780d31030d58d861!8m2!3d19.0231511!4d73.0314235!16s%2Fg%2F11j0v0lpr9!19sChIJX6dhZbfD5zsRYdhYDQMxDXg?authuser=0&amp;hl=en&amp;rclk=1</t>
  </si>
  <si>
    <t>https://navimumbai.kokilabenhospital.com/</t>
  </si>
  <si>
    <t>Apollo Hospital,, Parsik Hill Rd</t>
  </si>
  <si>
    <t>was thorough and effective—highly recommended!"</t>
  </si>
  <si>
    <t>https://www.google.com/maps/place/Dr.+Veeral+Aliporewala/data=!4m7!3m6!1s0x3be7c399471d2bc7:0xfcf2f07f1e421a6e!8m2!3d19.0135779!4d73.011015!16s%2Fg%2F11fp47mwrk!19sChIJxysdR5nD5zsRbhpCHn_w8vw?authuser=0&amp;hl=en&amp;rclk=1</t>
  </si>
  <si>
    <t>Dr. Veeral Aliporewala</t>
  </si>
  <si>
    <t>Shop No 3, Plot 61 BPCL OFFICER'S CHS, Sector 44-A</t>
  </si>
  <si>
    <t>+91 99303 59910</t>
  </si>
  <si>
    <t>PLOT NO.- 88, 17</t>
  </si>
  <si>
    <t>https://www.instagram.com/drshalindubey</t>
  </si>
  <si>
    <t>"Felt very relaxing in the 1st visit and</t>
  </si>
  <si>
    <t>"The is clean, well-maintained, and the staff is always welcoming."</t>
  </si>
  <si>
    <t>and staff are very helpful."</t>
  </si>
  <si>
    <t>https://www.google.com/maps/place/Shree+Om+child+Clinic/data=!4m7!3m6!1s0x3be7c3782a01c23d:0x5c3aaa975a74713d!8m2!3d19.0298314!4d73.0254996!16s%2Fg%2F11rc4t9xsp!19sChIJPcIBKnjD5zsRPXF0WpeqOlw?authuser=0&amp;hl=en&amp;rclk=1</t>
  </si>
  <si>
    <t>Shree Om child Clinic</t>
  </si>
  <si>
    <t>https://www.instagram.com/drshraddhapatil</t>
  </si>
  <si>
    <t>Pediatrician</t>
  </si>
  <si>
    <t>"The is well-maintained, and the staff is very supportive."</t>
  </si>
  <si>
    <t>shop No 11, Lenyadri CHS Ltd, Shree Om Child Clinic, Plot no 49/1</t>
  </si>
  <si>
    <t>+91 79771 40843</t>
  </si>
  <si>
    <t>is well-managed, and the staff is courteous."</t>
  </si>
  <si>
    <t>"The and their staff are extremely friendly and professional."</t>
  </si>
  <si>
    <t>https://www.instagram.com/drsonalbansal</t>
  </si>
  <si>
    <t>Dr. Vaidehi Kulkarni</t>
  </si>
  <si>
    <t>https://www.google.com/maps/place/Dr.+Vaidehi+Kulkarni/data=!4m7!3m6!1s0x3be7c3aad330f82d:0xe317bc62a35333a4!8m2!3d19.025588!4d73.0177972!16s%2Fg%2F11q96lk3n8!19sChIJLfgw06rD5zsRpDNTo2K8F-M?authuser=0&amp;hl=en&amp;rclk=1</t>
  </si>
  <si>
    <t>"The provided was excellent and effective."</t>
  </si>
  <si>
    <t>Web development</t>
  </si>
  <si>
    <t>Dmart, Shop no 2 pulin tower CHS, plot no 34, opposite to seawood</t>
  </si>
  <si>
    <t>+91 93216 55045</t>
  </si>
  <si>
    <t>"Thanks to their care and guidance, my shoulder feels much better now."</t>
  </si>
  <si>
    <t>https://www.google.com/maps/place/Swati+Clinic/data=!4m7!3m6!1s0x3be7c3be8411eb9f:0x62f4c037b643228a!8m2!3d19.0241881!4d73.02036!16s%2Fg%2F11fxf0s4sy!19sChIJn-sRhL7D5zsRiiJDtjfA9GI?authuser=0&amp;hl=en&amp;rclk=1</t>
  </si>
  <si>
    <t>http://entnavimumbai.in/</t>
  </si>
  <si>
    <t>Swati Clinic</t>
  </si>
  <si>
    <t>Dr. Waghela's ENT and Endoscopy Clinic</t>
  </si>
  <si>
    <t>https://www.google.com/maps/place/Dr.+Waghela%27s+ENT+and+Endoscopy+Clinic/data=!4m7!3m6!1s0x3be7c219f60ed645:0xc9edf24c3477faca!8m2!3d19.046816!4d73.069984!16s%2Fg%2F11f08yk6qr!19sChIJRdYO9hnC5zsRyvp3NEzy7ck?authuser=0&amp;hl=en&amp;rclk=1</t>
  </si>
  <si>
    <t>https://www.google.com/maps/place/Dr.Kamlesh+Giri+%28+Dr.Giri%27s+Multispeciality+Homeopathic+Clinic+,Nerul+Branch+%29/data=!4m7!3m6!1s0x3be7c3bf32a5c74b:0x93bad37407fa5af!8m2!3d19.027531!4d73.0226!16s%2Fg%2F11c74ymgxy!19sChIJS8elMr_D5zsRr6V_QDetOwk?authuser=0&amp;hl=en&amp;rclk=1</t>
  </si>
  <si>
    <t>Otolaryngologist</t>
  </si>
  <si>
    <t>Second floor, 208, Shilp Chowk, opp. Saanvi Children Hospital</t>
  </si>
  <si>
    <t>Dr.Kamlesh Giri ( Dr.Giri's Multispeciality Homeopathic Clinic ,Nerul Branch )</t>
  </si>
  <si>
    <t>+91 90825 25060</t>
  </si>
  <si>
    <t>shop -5, 1st floor, Shivam Park, plot-25</t>
  </si>
  <si>
    <t>+91 80805 41654</t>
  </si>
  <si>
    <t>http://www.drkamleshgiri.com/</t>
  </si>
  <si>
    <t>· Opens 1:30 PM Wed</t>
  </si>
  <si>
    <t>https://www.instagram.com/drgarjeayurved</t>
  </si>
  <si>
    <t>"The services that I receive from Dr is excellent."</t>
  </si>
  <si>
    <t>https://www.google.com/maps/place/Om+Physiotherapy+Clinic/data=!4m7!3m6!1s0x3be7c3c0ae5bdad7:0x61938f5a6891e2c8!8m2!3d19.0304069!4d73.0223393!16s%2Fg%2F1thl3x03!19sChIJ19pbrsDD5zsRyOKRaFqPk2E?authuser=0&amp;hl=en&amp;rclk=1</t>
  </si>
  <si>
    <t>Om Physiotherapy Clinic</t>
  </si>
  <si>
    <t>Physical therapist</t>
  </si>
  <si>
    <t>Monil Cottage, Ring Rd 1</t>
  </si>
  <si>
    <t>+91 70455 08488</t>
  </si>
  <si>
    <t>http://www.omphysiotherapy.com/</t>
  </si>
  <si>
    <t>https://www.google.com/maps/place/Sai+Shraddha+Mother+And+Child+Care+Clinic+-+Dr+Abhijit+Mhapankar/data=!4m7!3m6!1s0x3be7c3c287084589:0x24834ee60fb2a9a5!8m2!3d19.0301313!4d73.02502!16s%2Fg%2F11nfp5x8rq!19sChIJiUUIh8LD5zsRpamyD-ZOgyQ?authuser=0&amp;hl=en&amp;rclk=1</t>
  </si>
  <si>
    <t>https://www.instagram.com/drrahulorthocare</t>
  </si>
  <si>
    <t>Sai Shraddha Mother And Child Care Clinic - Dr Abhijit Mhapankar</t>
  </si>
  <si>
    <t>Child health care center</t>
  </si>
  <si>
    <t>CHS Plot No, Navdurga Complex, Shop no. 31, 7 7A</t>
  </si>
  <si>
    <t>+91 93727 99547</t>
  </si>
  <si>
    <t>https://saishraddhamotherandchildcarecenter.com/</t>
  </si>
  <si>
    <t>"All the staff in the very supportive and helpful."</t>
  </si>
  <si>
    <t>https://dypatilhealthcare.com/</t>
  </si>
  <si>
    <t>DY Patil Healthcare</t>
  </si>
  <si>
    <t>https://www.instagram.com/dypatilhealthcare</t>
  </si>
  <si>
    <t>"The was thorough and effective—highly recommended!"</t>
  </si>
  <si>
    <t>https://www.google.com/maps/place/DY+Patil+Healthcare/data=!4m7!3m6!1s0x3be7c3db45555555:0xc0630db5ea0b5ed!8m2!3d19.0409427!4d73.0245966!16s%2Fg%2F11fnp9gd3f!19sChIJVVVVRdvD5zsR7bWgXtswBgw?authuser=0&amp;hl=en&amp;rclk=1</t>
  </si>
  <si>
    <t>D-wing, Ayyappa Temple Rd</t>
  </si>
  <si>
    <t>+91 22 2773 6901</t>
  </si>
  <si>
    <t>https://www.instagram.com/echelonhospital</t>
  </si>
  <si>
    <t>https://www.google.com/maps/place/The+Good+Health+Homeopathy+Clinic/data=!4m7!3m6!1s0x3be7c2199eb225bb:0xc3db31d85f876d60!8m2!3d19.0482358!4d73.0689068!16s%2Fg%2F11bwqp28zd!19sChIJuyWynhnC5zsRYG2HX9gx28M?authuser=0&amp;hl=en&amp;rclk=1</t>
  </si>
  <si>
    <t>The Good Health Homeopathy Clinic</t>
  </si>
  <si>
    <t>Shop 5, Chaturbhuj CHS, Shilp Chowk</t>
  </si>
  <si>
    <t>+91 90826 45508</t>
  </si>
  <si>
    <t>https://dralokkumar2659.getmy.clinic/?utm_source=gmb&amp;utm_medium=web&amp;utm_campaign=tu</t>
  </si>
  <si>
    <t>· Opens 7 PM</t>
  </si>
  <si>
    <t>· Opens 9 AM Wed</t>
  </si>
  <si>
    <t>https://www.google.com/maps/place/UpSkin+Aesthetic+Clinic+by+Dr+Juilee/data=!4m7!3m6!1s0x3be7c371cb59c8e1:0x6e76fbd63c92c80f!8m2!3d19.0331154!4d73.0186739!16s%2Fg%2F11x999c_7_!19sChIJ4chZy3HD5zsRD8iSPNb7dm4?authuser=0&amp;hl=en&amp;rclk=1</t>
  </si>
  <si>
    <t>UpSkin Aesthetic Clinic by Dr Juilee</t>
  </si>
  <si>
    <t>Second Floor, Nerul railway commercial complex C-211, railway station East</t>
  </si>
  <si>
    <t>"The really listens and creates a plan tailored to your needs."</t>
  </si>
  <si>
    <t>+91 96641 46460</t>
  </si>
  <si>
    <t>https://www.instagram.com/hridayanavjeevanalaya</t>
  </si>
  <si>
    <t>https://www.google.com/maps/place/Smile+Please+Dental+Clinic/data=!4m7!3m6!1s0x3be7c149bfffffff:0x28c638d6d6ba70d6!8m2!3d19.0731329!4d72.9982557!16s%2Fg%2F1tmg9x9m!19sChIJ____v0nB5zsR1nC61tY4xig?authuser=0&amp;hl=en&amp;rclk=1</t>
  </si>
  <si>
    <t>Smile Please Dental Clinic</t>
  </si>
  <si>
    <t>Office No 203,2nd Floor, Plot no. 10</t>
  </si>
  <si>
    <t>+91 98216 62442</t>
  </si>
  <si>
    <t>https://www.smiileplease.com/</t>
  </si>
  <si>
    <t>https://www.instagram.com/ivoryphysiotherapy</t>
  </si>
  <si>
    <t>"The only drawback of this are the receptionists."</t>
  </si>
  <si>
    <t>https://www.google.com/maps/place/Nerul+Piles+Center/data=!4m7!3m6!1s0x3be7c3decb7b40fd:0xe36345355c40d88c!8m2!3d19.0441297!4d73.022612!16s%2Fg%2F11c3pwz5kd!19sChIJ_UB7y97D5zsRjNhAXDVFY-M?authuser=0&amp;hl=en&amp;rclk=1</t>
  </si>
  <si>
    <t>Kids Clinic</t>
  </si>
  <si>
    <t>Nerul Piles Center</t>
  </si>
  <si>
    <t>https://www.google.com/maps/place/Kids+Clinic/data=!4m7!3m6!1s0x3be7c3bfc1f5506d:0x1f7ed60cc3af128!8m2!3d19.0240321!4d73.0178303!16s%2Fg%2F1pp2txs04!19sChIJbVD1wb_D5zsRKPE6zGDt9wE?authuser=0&amp;hl=en&amp;rclk=1</t>
  </si>
  <si>
    <t>"The is well-managed, and the staff is courteous."</t>
  </si>
  <si>
    <t>Bldg No.2, Shivaji Chowk, Shop No.B-4, Sector No.1A, NL2 Rd, near shivaji chowk</t>
  </si>
  <si>
    <t>+91 77383 12284</t>
  </si>
  <si>
    <t>https://nerulpilescenter.com/</t>
  </si>
  <si>
    <t>Siddhivinayak chs, near Aishwarya hotel, opposite Akash Ganga CHS</t>
  </si>
  <si>
    <t>+91 98191 12424</t>
  </si>
  <si>
    <t>"The staff is professional, polite, and highly knowledgeable."</t>
  </si>
  <si>
    <t>https://www.instagram.com/kokilabenhospital</t>
  </si>
  <si>
    <t>http://www.mahavirhospital.in.net/</t>
  </si>
  <si>
    <t>Mahavir Maternity and Surgical Hospital</t>
  </si>
  <si>
    <t>https://www.google.com/maps/place/Mahavir+Maternity+and+Surgical+Hospital/data=!4m7!3m6!1s0x3be7c0d0b4206ef5:0xda6ec0849f1733af!8m2!3d19.100912!4d73.0108753!16s%2Fg%2F11b879xbw_!19sChIJ9W4gtNDA5zsRrzMXn4TAbto?authuser=0&amp;hl=en&amp;rclk=1</t>
  </si>
  <si>
    <t>"Felt very relaxing in the 1st visit and and staff are very helpful."</t>
  </si>
  <si>
    <t>1st Floor, Sai Vrindavan CHS, Railway Station, Plot No 33, Sector 9 Kopar Khairane Rd, opp. Balaji Movieplex, near Koparkhairne</t>
  </si>
  <si>
    <t>+91 96196 38464</t>
  </si>
  <si>
    <t>"She is beauty with brains."</t>
  </si>
  <si>
    <t>http://www.mgmhospitalvashi.net/</t>
  </si>
  <si>
    <t>Shop no.1, Hem Prabat CHS, Plot No.72, opposite Shankacharya Garden</t>
  </si>
  <si>
    <t>MGM New Bombay Hospital, Vashi</t>
  </si>
  <si>
    <t>https://www.google.com/maps/place/MGM+New+Bombay+Hospital,+Vashi/data=!4m7!3m6!1s0x3be7c6caa94cef59:0xd2977d80d17491e8!8m2!3d19.072693!4d72.9936479!16s%2Fg%2F1tgy_19j!19sChIJWe9MqcrG5zsR6JF00YB9l9I?authuser=0&amp;hl=en&amp;rclk=1</t>
  </si>
  <si>
    <t>"The was always clean and well-organized."</t>
  </si>
  <si>
    <t>Plot No.35</t>
  </si>
  <si>
    <t>+91 1800 266 5456</t>
  </si>
  <si>
    <t>"Even keeps prescribed tests to a minimal and what’s neeeded."</t>
  </si>
  <si>
    <t>https://www.motherhoodindia.com/locations/mumbai/?utm_source=mhi&amp;utm_medium=gmb&amp;utm_campaign=mumbai</t>
  </si>
  <si>
    <t>Motherhood Hospital</t>
  </si>
  <si>
    <t>https://www.instagram.com/motherhoodhospital</t>
  </si>
  <si>
    <t>https://www.google.com/maps/place/Motherhood+Hospital/data=!4m7!3m6!1s0x3be7c3a93f6092e5:0x73fab948d50aaf4c!8m2!3d19.0357324!4d73.0632202!16s%2Fg%2F11f6ktmrz6!19sChIJ5ZJgP6nD5zsRTK8K1Ui5-nM?authuser=0&amp;hl=en&amp;rclk=1</t>
  </si>
  <si>
    <t>"The is clean, well-equipped, and punctual with appointments."</t>
  </si>
  <si>
    <t>· Opens 11 AM Wed</t>
  </si>
  <si>
    <t>+91 84948 00094</t>
  </si>
  <si>
    <t>are knowledgeable and explains everything in detail."</t>
  </si>
  <si>
    <t>https://suranahospital.in/location/navi-mumbai/mpct</t>
  </si>
  <si>
    <t>MPCT Hospital</t>
  </si>
  <si>
    <t>https://www.google.com/maps/place/MPCT+Hospital/data=!4m7!3m6!1s0x3be7c15cb5740b23:0xe449834910676dda!8m2!3d19.0630462!4d73.0125691!16s%2Fg%2F11c0xnyl1q!19sChIJIwt0tVzB5zsR2m1nEEmDSeQ?authuser=0&amp;hl=en&amp;rclk=1</t>
  </si>
  <si>
    <t>C7, Budhyadev Mandir Marg</t>
  </si>
  <si>
    <t>+91 95136 31880</t>
  </si>
  <si>
    <t>MUKTA HOMOEOPATHY CLINIC</t>
  </si>
  <si>
    <t>https://www.google.com/maps/place/MUKTA+HOMOEOPATHY+CLINIC/data=!4m7!3m6!1s0x3be7c3f9b096f1f3:0xbb597a59052a85e6!8m2!3d19.0375523!4d73.019036!16s%2Fg%2F11gj4l5s7_!19sChIJ8_GWsPnD5zsR5oUqBVl6Wbs?authuser=0&amp;hl=en&amp;rclk=1</t>
  </si>
  <si>
    <t>Shop Number 10, Laxcon Plaza</t>
  </si>
  <si>
    <t>https://www.instagram.com/newskinelixir</t>
  </si>
  <si>
    <t>https://www.google.com/maps/place/Sabka+dentist/data=!4m7!3m6!1s0x3be7c3b8d37805c7:0x6e90345cc2fba1c6!8m2!3d19.0246836!4d73.0216118!16s%2Fg%2F1q675glcp!19sChIJxwV407jD5zsRxqH7wlw0kG4?authuser=0&amp;hl=en&amp;rclk=1</t>
  </si>
  <si>
    <t>Sabka dentist</t>
  </si>
  <si>
    <t>Shop - G-09K, Hawares Centurion Mall, behind Shop – Ground Floor, near Indian Bank &amp; Federal Bank</t>
  </si>
  <si>
    <t>+91 82918 49572</t>
  </si>
  <si>
    <t>https://www.sabkadentist.com/dental-clinics-in-navi-mumbai/nerul-east/</t>
  </si>
  <si>
    <t>https://www.instagram.com/omphysiotherapy</t>
  </si>
  <si>
    <t>https://oroface.in/</t>
  </si>
  <si>
    <t>OroFace® Dental Clinic Seawoods, Navi Mumbai</t>
  </si>
  <si>
    <t>https://www.instagram.com/oroface.in</t>
  </si>
  <si>
    <t>"The is clean, calming, and the staff is very professional."</t>
  </si>
  <si>
    <t>https://www.google.com/maps/place/OroFace%C2%AE+Dental+Clinic+Seawoods,+Navi+Mumbai/data=!4m7!3m6!1s0x3be7c3972b48f493:0x6d4dce716f56f618!8m2!3d19.0196096!4d73.0115372!16s%2Fg%2F11c707x3bh!19sChIJk_RIK5fD5zsRGPZWb3HOTW0?authuser=0&amp;hl=en&amp;rclk=1</t>
  </si>
  <si>
    <t>"Support staff at</t>
  </si>
  <si>
    <t>is also helpful."</t>
  </si>
  <si>
    <t>Dental implants provider</t>
  </si>
  <si>
    <t>Infront of Ganesh Talav, Shop No. 2,3, H No.529, 6, Gosavi Kruhna Tandel Rd, near Madhusheth Tandel Maidan</t>
  </si>
  <si>
    <t>+91 89767 44432</t>
  </si>
  <si>
    <t>was gentle and effective."</t>
  </si>
  <si>
    <t>"The and staff are very friendly, positive and responsive."</t>
  </si>
  <si>
    <t>https://www.instagram.com/parasnathclinics</t>
  </si>
  <si>
    <t>https://www.instagram.com/restoreclinics</t>
  </si>
  <si>
    <t>https://www.instagram.com/rivoskin</t>
  </si>
  <si>
    <t>https://www.google.com/maps/place/Shree+Sai+clinic/data=!4m7!3m6!1s0x3be7c3aa18d8b603:0x50a27698e19091df!8m2!3d19.0326911!4d73.0230043!16s%2Fg%2F11smhcgpw7!19sChIJA7bYGKrD5zsR35GQ4Zh2olA?authuser=0&amp;hl=en&amp;rclk=1</t>
  </si>
  <si>
    <t>Shree Sai clinic</t>
  </si>
  <si>
    <t>Physical therapy clinic</t>
  </si>
  <si>
    <t>https://www.instagram.com/roselleskinclinic</t>
  </si>
  <si>
    <t>sector no-19, Nilkhant society</t>
  </si>
  <si>
    <t>+91 93243 59623</t>
  </si>
  <si>
    <t>https://www.instagram.com/sabkadentist</t>
  </si>
  <si>
    <t>"The are knowledgeable and explains everything in detail."</t>
  </si>
  <si>
    <t>Shiv Meera Clinic</t>
  </si>
  <si>
    <t>https://www.google.com/maps/place/Shiv+Meera+Clinic/data=!4m7!3m6!1s0x3be7c115a60b1f59:0x7465c45bac4b130c!8m2!3d19.0787281!4d73.0190326!16s%2Fg%2F1pv19tryz!19sChIJWR8LphXB5zsRDBNLrFvEZXQ?authuser=0&amp;hl=en&amp;rclk=1</t>
  </si>
  <si>
    <t>298, Thane - Belapur Rd</t>
  </si>
  <si>
    <t>+91 91676 35479</t>
  </si>
  <si>
    <t>is clean, well-organized, and the staff is very professional."</t>
  </si>
  <si>
    <t>Open now</t>
  </si>
  <si>
    <t>· Opens 10 AM Wed</t>
  </si>
  <si>
    <t>https://www.instagram.com/skinsciencemumbai</t>
  </si>
  <si>
    <t>https://www.google.com/maps/place/Yara+ACUPUNCTURIST/data=!4m7!3m6!1s0x3be7c3658d36f021:0x6fea3f2b0326cbc0!8m2!3d19.0284498!4d73.0183038!16s%2Fg%2F11lgdw8g59!19sChIJIfA2jWXD5zsRwMsmAys_6m8?authuser=0&amp;hl=en&amp;rclk=1</t>
  </si>
  <si>
    <t>Yara ACUPUNCTURIST</t>
  </si>
  <si>
    <t>Acupuncturist</t>
  </si>
  <si>
    <t>Shop No 28, Maryland apartment, Plot No - A - 7, opp. Balaram Patil Vidyalaya</t>
  </si>
  <si>
    <t>+91 86680 18708</t>
  </si>
  <si>
    <t>https://yara-acupuncturist.grexa.site/</t>
  </si>
  <si>
    <t>https://www.instagram.com/skinsoulindia</t>
  </si>
  <si>
    <t>"The is incredibly kind, friendly, and knowledgeable."</t>
  </si>
  <si>
    <t>https://www.instagram.com/skiniq.in</t>
  </si>
  <si>
    <t>"The staff and were incredibly professional and knowledgeable."</t>
  </si>
  <si>
    <t>"Really wonderful</t>
  </si>
  <si>
    <t>and the counselling sessions are useful!"</t>
  </si>
  <si>
    <t>https://www.instagram.com/smiileplease</t>
  </si>
  <si>
    <t>https://www.instagram.com/sparshskinclinics</t>
  </si>
  <si>
    <t>"The was gentle and effective."</t>
  </si>
  <si>
    <t>https://www.instagram.com/starheartclinic</t>
  </si>
  <si>
    <t>https://askhomeo.com/</t>
  </si>
  <si>
    <t>SweetPills Homeopathy Clinics – Seawoods (Best Homeopathy Doctor in Navi Mumbai)</t>
  </si>
  <si>
    <t>https://www.instagram.com/sweetpillshomeopathy</t>
  </si>
  <si>
    <t>"It’s rare to find a who gives so much attention to patient concerns."</t>
  </si>
  <si>
    <t>https://www.google.com/maps/place/SweetPills+Homeopathy+Clinics+%E2%80%93+Seawoods+%28Best+Homeopathy+Doctor+in+Navi+Mumbai%29/data=!4m7!3m6!1s0x3be7c3be73b4f329:0x9f205b3ba9f06bb3!8m2!3d19.0232165!4d73.0204214!16s%2Fg%2F1pt_1cz4c!19sChIJKfO0c77D5zsRs2vwqTtbIJ8?authuser=0&amp;hl=en&amp;rclk=1</t>
  </si>
  <si>
    <t>Shop No 25, Ground floor, Seawoods Corner CHS, opp. Railway Station</t>
  </si>
  <si>
    <t>+91 97736 22313</t>
  </si>
  <si>
    <t>· Opens 7:30 PM</t>
  </si>
  <si>
    <t>"This and staff are professional and knowledgeable about hair."</t>
  </si>
  <si>
    <t>https://www.instagram.com/ternahospital</t>
  </si>
  <si>
    <t>https://vlcc.com/clinics/beauty-wellness-clinic-seawoods,-navi-mumbai/264</t>
  </si>
  <si>
    <t>VLCC Beauty Clinic (Seawoods, Navi Mumbai )</t>
  </si>
  <si>
    <t>https://www.instagram.com/vlccindia</t>
  </si>
  <si>
    <t>https://www.google.com/maps/place/VLCC+Beauty+Clinic+%28Seawoods,+Navi+Mumbai+%29/data=!4m7!3m6!1s0x3be7c3f7cf111ec3:0x7484d41426c46d69!8m2!3d19.0119712!4d73.012314!16s%2Fg%2F11wg26f58z!19sChIJwx4Rz_fD5zsRaW3EJhTUhHQ?authuser=0&amp;hl=en&amp;rclk=1</t>
  </si>
  <si>
    <t>"Dr Alim Is So Friendly.Her Style is so different ."</t>
  </si>
  <si>
    <t>Health and beauty shop</t>
  </si>
  <si>
    <t>Baba Heritage CHSL, Plot No. 2</t>
  </si>
  <si>
    <t>+91 70260 00738</t>
  </si>
  <si>
    <t>"my</t>
  </si>
  <si>
    <t>was done painlessly and now wi got my fix teeth."</t>
  </si>
  <si>
    <t>"I was able to overcome my fear of dental</t>
  </si>
  <si>
    <t>and felt in safe hands."</t>
  </si>
  <si>
    <t>"The staff is compassionate, attentive, and highly professional."</t>
  </si>
  <si>
    <t>"The staff is very professional and the therapist have a great hand."</t>
  </si>
  <si>
    <t>"One of the finest, in terms of communication, care and</t>
  </si>
  <si>
    <t>"The is modern, hygienic, and equipped with the latest technology."</t>
  </si>
  <si>
    <t>"The is clean, well-organized, and the staff is very professional."</t>
  </si>
  <si>
    <t>"The is very clean and well-maintained."</t>
  </si>
  <si>
    <t>"Support staff at is also helpful."</t>
  </si>
  <si>
    <t>"The diagnosis and were spot on."</t>
  </si>
  <si>
    <t>"The care, , and ambience here are truly comforting."</t>
  </si>
  <si>
    <t>"Great , clean facilities, friendly staff."</t>
  </si>
  <si>
    <t>"Really wonderful and the counselling sessions are useful!"</t>
  </si>
  <si>
    <t>"The is clean, professional, and truly focused on patient recovery."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</si>
</sst>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u/>
      <color rgb="FF1155CC"/>
      <name val="Arial"/>
    </font>
    <font>
      <u/>
      <color rgb="FF0000FF"/>
    </font>
    <font>
      <sz val="14.0"/>
      <color theme="1"/>
      <name val="Arial"/>
      <scheme val="minor"/>
    </font>
    <font>
      <b/>
      <sz val="11.0"/>
      <color theme="1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b/>
      <sz val="11.0"/>
      <color rgb="FFF3F3F3"/>
      <name val="Calibri"/>
    </font>
    <font>
      <b/>
      <color rgb="FFF3F3F3"/>
      <name val="Arial"/>
      <scheme val="minor"/>
    </font>
    <font>
      <b/>
      <color rgb="FFF3F3F3"/>
      <name val="Arial"/>
    </font>
    <font>
      <sz val="11.0"/>
      <color theme="1"/>
      <name val="Calibri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center" readingOrder="0" shrinkToFit="0" vertical="top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2" fontId="11" numFmtId="0" xfId="0" applyAlignment="1" applyFont="1">
      <alignment horizontal="left" readingOrder="0" vertical="top"/>
    </xf>
    <xf borderId="0" fillId="2" fontId="11" numFmtId="0" xfId="0" applyAlignment="1" applyFont="1">
      <alignment horizontal="left" vertical="top"/>
    </xf>
    <xf borderId="0" fillId="2" fontId="12" numFmtId="0" xfId="0" applyAlignment="1" applyFont="1">
      <alignment horizontal="left" readingOrder="0"/>
    </xf>
    <xf borderId="0" fillId="2" fontId="11" numFmtId="0" xfId="0" applyAlignment="1" applyFont="1">
      <alignment horizontal="left" readingOrder="0" shrinkToFit="0" vertical="top" wrapText="0"/>
    </xf>
    <xf borderId="0" fillId="2" fontId="13" numFmtId="0" xfId="0" applyAlignment="1" applyFont="1">
      <alignment horizontal="left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left" vertical="bottom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0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3" fontId="16" numFmtId="0" xfId="0" applyFill="1" applyFont="1"/>
    <xf borderId="0" fillId="0" fontId="14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1</xdr:row>
      <xdr:rowOff>28575</xdr:rowOff>
    </xdr:from>
    <xdr:ext cx="2933700" cy="2171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1</xdr:row>
      <xdr:rowOff>28575</xdr:rowOff>
    </xdr:from>
    <xdr:ext cx="3219450" cy="26384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14</xdr:row>
      <xdr:rowOff>38100</xdr:rowOff>
    </xdr:from>
    <xdr:ext cx="4476750" cy="2762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0</xdr:row>
      <xdr:rowOff>57150</xdr:rowOff>
    </xdr:from>
    <xdr:ext cx="6115050" cy="25908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voryphysiotherapy.in/" TargetMode="External"/><Relationship Id="rId190" Type="http://schemas.openxmlformats.org/officeDocument/2006/relationships/hyperlink" Target="http://www.svdayurved.com/" TargetMode="External"/><Relationship Id="rId42" Type="http://schemas.openxmlformats.org/officeDocument/2006/relationships/hyperlink" Target="https://www.bcaclinicindia.com/" TargetMode="External"/><Relationship Id="rId41" Type="http://schemas.openxmlformats.org/officeDocument/2006/relationships/hyperlink" Target="https://www.google.com/maps/place/BCA+CLINIC+NAVI+MUMBAI+by+Deepali+Banerjee/data=!4m7!3m6!1s0x3be7c1f3065cab8d:0x6bfadc5f2fe74d8b!8m2!3d19.053278!4d73.0070932!16s%2Fg%2F11zjvpwdcc!19sChIJjatcBvPB5zsRi03nL1_c-ms?authuser=0&amp;hl=en&amp;rclk=1" TargetMode="External"/><Relationship Id="rId44" Type="http://schemas.openxmlformats.org/officeDocument/2006/relationships/hyperlink" Target="https://ssl.gstatic.com/local/servicebusiness/default_user.png" TargetMode="External"/><Relationship Id="rId194" Type="http://schemas.openxmlformats.org/officeDocument/2006/relationships/hyperlink" Target="https://www.bodysculptclinic.in/" TargetMode="External"/><Relationship Id="rId43" Type="http://schemas.openxmlformats.org/officeDocument/2006/relationships/hyperlink" Target="https://www.google.com/maps/place/Vyana+Skin+Clinic+and+Yoga+Center+%28Navi+Mumbai%29/data=!4m7!3m6!1s0x3be7c3997d07c021:0xb37297c118b5ff4d!8m2!3d19.01372!4d73.0112652!16s%2Fg%2F11hbvp_rn3!19sChIJIcAHfZnD5zsRTf-1GMGXcrM?authuser=0&amp;hl=en&amp;rclk=1" TargetMode="External"/><Relationship Id="rId193" Type="http://schemas.openxmlformats.org/officeDocument/2006/relationships/hyperlink" Target="https://www.google.com/maps/place/%F0%9D%97%97%F0%9D%97%BF.+%F0%9D%97%A1%F0%9D%97%B2%F0%9D%97%B2%F0%9D%98%81%F0%9D%97%AE%27%F0%9D%98%80+%F0%9D%97%95%F0%9D%97%BC%F0%9D%97%B1%F0%9D%98%86%F0%9D%98%80%F0%9D%97%B0%F0%9D%98%82%F0%9D%97%B9%F0%9D%97%BD%F0%9D%98%81+%F0%9D%97%96%F0%9D%97%B9%F0%9D%97%B6%F0%9D%97%BB%F0%9D%97%B6%F0%9D%97%B0/data=!4m7!3m6!1s0x3be7c31cd23bd707:0x95821035fd6ae1a8!8m2!3d19.0386174!4d73.0202805!16s%2Fg%2F11hzc8vzbk!19sChIJB9c70hzD5zsRqOFq_TUQgpU?authuser=0&amp;hl=en&amp;rclk=1" TargetMode="External"/><Relationship Id="rId46" Type="http://schemas.openxmlformats.org/officeDocument/2006/relationships/hyperlink" Target="https://ssl.gstatic.com/local/servicebusiness/default_user.png" TargetMode="External"/><Relationship Id="rId192" Type="http://schemas.openxmlformats.org/officeDocument/2006/relationships/hyperlink" Target="https://www.drpoojabansal.com/" TargetMode="External"/><Relationship Id="rId45" Type="http://schemas.openxmlformats.org/officeDocument/2006/relationships/hyperlink" Target="https://www.google.com/maps/place/Terna+Speciality+Hospital+%26+Research+Centre,+Navi+Mumbai+%7C+Best+Hospital+in+Navi+Mumbai/data=!4m7!3m6!1s0x3be7c3ea86beb207:0x7f154e8cdff9c916!8m2!3d19.0315347!4d73.0162787!16s%2Fg%2F11gzm8fv1!19sChIJB7K-hurD5zsRFsn534xOFX8?authuser=0&amp;hl=en&amp;rclk=1" TargetMode="External"/><Relationship Id="rId191" Type="http://schemas.openxmlformats.org/officeDocument/2006/relationships/hyperlink" Target="https://www.google.com/maps/place/Dr+Pooja+Bansal/data=!4m7!3m6!1s0x3be7c3c6b6dc9349:0x103422387181eb13!8m2!3d19.0274048!4d73.0231625!16s%2Fg%2F11hzxf985w!19sChIJSZPctsbD5zsRE-uBcTgiNBA?authuser=0&amp;hl=en&amp;rclk=1" TargetMode="External"/><Relationship Id="rId48" Type="http://schemas.openxmlformats.org/officeDocument/2006/relationships/hyperlink" Target="https://www.google.com/maps/place/Echelon+Hospital/data=!4m7!3m6!1s0x3be7c0ce2ed4c9cf:0x6f5fc27430527124!8m2!3d19.1085005!4d73.0017709!16s%2Fg%2F1thk764z!19sChIJz8nULs7A5zsRJHFSMHTCX28?authuser=0&amp;hl=en&amp;rclk=1" TargetMode="External"/><Relationship Id="rId187" Type="http://schemas.openxmlformats.org/officeDocument/2006/relationships/hyperlink" Target="https://drashwathyharidas.com/" TargetMode="External"/><Relationship Id="rId47" Type="http://schemas.openxmlformats.org/officeDocument/2006/relationships/hyperlink" Target="https://ternahospital.org/" TargetMode="External"/><Relationship Id="rId186" Type="http://schemas.openxmlformats.org/officeDocument/2006/relationships/hyperlink" Target="https://www.google.com/maps/place/Dr+Ashwathy+Haridas+%7C+Kidney+and+Hypertension+Clinic+%7C+Best+Nephrologist+In+Navi+Mumbai/data=!4m7!3m6!1s0x3be7c3bed8600a5f:0x62b29724444747d8!8m2!3d19.0131344!4d73.012722!16s%2Fg%2F11s3zl3vxw!19sChIJXwpg2L7D5zsR2EdHRCSXsmI?authuser=0&amp;hl=en&amp;rclk=1" TargetMode="External"/><Relationship Id="rId185" Type="http://schemas.openxmlformats.org/officeDocument/2006/relationships/hyperlink" Target="https://nerulpilescenter.com/" TargetMode="External"/><Relationship Id="rId49" Type="http://schemas.openxmlformats.org/officeDocument/2006/relationships/hyperlink" Target="https://ssl.gstatic.com/local/servicebusiness/default_user.png" TargetMode="External"/><Relationship Id="rId184" Type="http://schemas.openxmlformats.org/officeDocument/2006/relationships/hyperlink" Target="https://www.google.com/maps/place/Nerul+Piles+Center/data=!4m7!3m6!1s0x3be7c3decb7b40fd:0xe36345355c40d88c!8m2!3d19.0441297!4d73.022612!16s%2Fg%2F11c3pwz5kd!19sChIJ_UB7y97D5zsRjNhAXDVFY-M?authuser=0&amp;hl=en&amp;rclk=1" TargetMode="External"/><Relationship Id="rId189" Type="http://schemas.openxmlformats.org/officeDocument/2006/relationships/hyperlink" Target="https://www.google.com/maps/place/Dr.+Pratik+M.+Patil%27s,+Shree+Vishwa+Dhanvantari+Ayurved+Chikitsalaya/data=!4m7!3m6!1s0x3be7c3bc3bf6a9ef:0xe985479b3c896555!8m2!3d19.0302183!4d73.0225182!16s%2Fg%2F1tj29gpf!19sChIJ76n2O7zD5zsRVWWJPJtHhek?authuser=0&amp;hl=en&amp;rclk=1" TargetMode="External"/><Relationship Id="rId188" Type="http://schemas.openxmlformats.org/officeDocument/2006/relationships/hyperlink" Target="https://www.google.com/maps/place/Dr+Sonam%27s+Skin+Clinic/data=!4m7!3m6!1s0x3be7c3c205a51029:0x1989c37affdb48bc!8m2!3d19.0362336!4d73.0125649!16s%2Fg%2F11n0899_r6!19sChIJKRClBcLD5zsRvEjb_3rDiRk?authuser=0&amp;hl=en&amp;rclk=1" TargetMode="External"/><Relationship Id="rId31" Type="http://schemas.openxmlformats.org/officeDocument/2006/relationships/hyperlink" Target="https://ssl.gstatic.com/local/servicebusiness/default_user.png" TargetMode="External"/><Relationship Id="rId30" Type="http://schemas.openxmlformats.org/officeDocument/2006/relationships/hyperlink" Target="https://www.google.com/maps/place/Skin+Soul+-+Laser+hair+reduction+in+Navi+Mumbai,+ChemicalPeeling,+Hydra-facial+in+Navi+Mumbai,+Botox+treatment+in+Navi+Mumbai/data=!4m7!3m6!1s0x3be7c14a46874ead:0xffde2beb7bdfa747!8m2!3d19.0442387!4d73.009609!16s%2Fg%2F11fzbjjzkx!19sChIJrU6HRkrB5zsRR6ffe-sr3v8?authuser=0&amp;hl=en&amp;rclk=1" TargetMode="External"/><Relationship Id="rId33" Type="http://schemas.openxmlformats.org/officeDocument/2006/relationships/hyperlink" Target="https://www.google.com/maps/place/Ayushakti+Ayurved+Health+Centre+%7C+Panchakarma+Clinic+in+Navi+Mumbai/data=!4m7!3m6!1s0x3be7c3ab786a6a1f:0x4294e10b00f08572!8m2!3d19.0367236!4d73.0643284!16s%2Fg%2F11g_v6hfzy!19sChIJH2pqeKvD5zsRcoXwAAvhlEI?authuser=0&amp;hl=en&amp;rclk=1" TargetMode="External"/><Relationship Id="rId183" Type="http://schemas.openxmlformats.org/officeDocument/2006/relationships/hyperlink" Target="http://www.kbcclinics.com/" TargetMode="External"/><Relationship Id="rId32" Type="http://schemas.openxmlformats.org/officeDocument/2006/relationships/hyperlink" Target="https://www.skinsoul.in/" TargetMode="External"/><Relationship Id="rId182" Type="http://schemas.openxmlformats.org/officeDocument/2006/relationships/hyperlink" Target="https://www.google.com/maps/place/Cosmetic+%26+Hair+Transplant+Clinic/data=!4m7!3m6!1s0x3be7c91028e4cc13:0x228f3ccb6c59d7d7!8m2!3d19.0246875!4d73.0221875!16s%2Fg%2F11bzwrt9t_!19sChIJE8zkKBDJ5zsR19dZbMs8jyI?authuser=0&amp;hl=en&amp;rclk=1" TargetMode="External"/><Relationship Id="rId35" Type="http://schemas.openxmlformats.org/officeDocument/2006/relationships/hyperlink" Target="https://www.ayushakti.com/" TargetMode="External"/><Relationship Id="rId181" Type="http://schemas.openxmlformats.org/officeDocument/2006/relationships/hyperlink" Target="https://www.smiileplease.com/" TargetMode="External"/><Relationship Id="rId34" Type="http://schemas.openxmlformats.org/officeDocument/2006/relationships/hyperlink" Target="https://ssl.gstatic.com/local/servicebusiness/default_user.png" TargetMode="External"/><Relationship Id="rId180" Type="http://schemas.openxmlformats.org/officeDocument/2006/relationships/hyperlink" Target="https://www.google.com/maps/place/Smile+Please+Dental+Clinic/data=!4m7!3m6!1s0x3be7c149bfffffff:0x28c638d6d6ba70d6!8m2!3d19.0731329!4d72.9982557!16s%2Fg%2F1tmg9x9m!19sChIJ____v0nB5zsR1nC61tY4xig?authuser=0&amp;hl=en&amp;rclk=1" TargetMode="External"/><Relationship Id="rId37" Type="http://schemas.openxmlformats.org/officeDocument/2006/relationships/hyperlink" Target="https://ssl.gstatic.com/local/servicebusiness/default_user.png" TargetMode="External"/><Relationship Id="rId176" Type="http://schemas.openxmlformats.org/officeDocument/2006/relationships/hyperlink" Target="https://www.google.com/maps/place/360+HOMEO+CARE+CLINIC/data=!4m7!3m6!1s0x3be7c3bbdb4eb027:0x9e0cb6fa5c230ae6!8m2!3d19.0233747!4d73.0248128!16s%2Fg%2F11cmcb1kz9!19sChIJJ7BO27vD5zsR5gojXPq2DJ4?authuser=0&amp;hl=en&amp;rclk=1" TargetMode="External"/><Relationship Id="rId297" Type="http://schemas.openxmlformats.org/officeDocument/2006/relationships/drawing" Target="../drawings/drawing2.xml"/><Relationship Id="rId36" Type="http://schemas.openxmlformats.org/officeDocument/2006/relationships/hyperlink" Target="https://www.google.com/maps/place/Health+Care+Clinic/data=!4m7!3m6!1s0x3be7c3bc27753c85:0x6cfb8c05c28a9fb3!8m2!3d19.0245599!4d73.0197486!16s%2Fg%2F1pp2txp0_!19sChIJhTx1J7zD5zsRs5-KwgWM-2w?authuser=0&amp;hl=en&amp;rclk=1" TargetMode="External"/><Relationship Id="rId175" Type="http://schemas.openxmlformats.org/officeDocument/2006/relationships/hyperlink" Target="https://dralokkumar2659.getmy.clinic/?utm_source=gmb&amp;utm_medium=web&amp;utm_campaign=tu" TargetMode="External"/><Relationship Id="rId296" Type="http://schemas.openxmlformats.org/officeDocument/2006/relationships/hyperlink" Target="https://www.apollohospitals.com/doctors/interventional-cardiologist/mumbai/dr-brajesh-kumar-kunwar" TargetMode="External"/><Relationship Id="rId39" Type="http://schemas.openxmlformats.org/officeDocument/2006/relationships/hyperlink" Target="https://ssl.gstatic.com/local/servicebusiness/default_user.png" TargetMode="External"/><Relationship Id="rId174" Type="http://schemas.openxmlformats.org/officeDocument/2006/relationships/hyperlink" Target="https://www.google.com/maps/place/The+Good+Health+Homeopathy+Clinic/data=!4m7!3m6!1s0x3be7c2199eb225bb:0xc3db31d85f876d60!8m2!3d19.0482358!4d73.0689068!16s%2Fg%2F11bwqp28zd!19sChIJuyWynhnC5zsRYG2HX9gx28M?authuser=0&amp;hl=en&amp;rclk=1" TargetMode="External"/><Relationship Id="rId295" Type="http://schemas.openxmlformats.org/officeDocument/2006/relationships/hyperlink" Target="https://ssl.gstatic.com/local/servicebusiness/default_user.png" TargetMode="External"/><Relationship Id="rId38" Type="http://schemas.openxmlformats.org/officeDocument/2006/relationships/hyperlink" Target="https://www.google.com/maps/place/Ivory+Physiotherapy+Clinic+Nerul+Navi+Mumbai/data=!4m7!3m6!1s0x3be7c357181be0f9:0x43273c8f83a0f300!8m2!3d19.0110622!4d73.013619!16s%2Fg%2F11t5dxshjk!19sChIJ-eAbGFfD5zsRAPOgg488J0M?authuser=0&amp;hl=en&amp;rclk=1" TargetMode="External"/><Relationship Id="rId173" Type="http://schemas.openxmlformats.org/officeDocument/2006/relationships/hyperlink" Target="https://dypatilhospitals.com/" TargetMode="External"/><Relationship Id="rId294" Type="http://schemas.openxmlformats.org/officeDocument/2006/relationships/hyperlink" Target="https://www.google.com/maps/place/Dr.+Brajesh+Kumar+Kunwar+-+Best+Interventional+Cardiologist+in+Navi+Mumbai+%7C+Apollo+Hospitals/data=!4m7!3m6!1s0x3be7c3a055555515:0x3c3f37526a90656a!8m2!3d19.020638!4d73.0291831!16s%2Fg%2F11fz6v4bxx!19sChIJFVVVVaDD5zsRamWQalI3Pzw?authuser=0&amp;hl=en&amp;rclk=1" TargetMode="External"/><Relationship Id="rId179" Type="http://schemas.openxmlformats.org/officeDocument/2006/relationships/hyperlink" Target="https://www.google.com/maps/place/Dr+Omkar+Mate%27s+Midas+Clinic/data=!4m7!3m6!1s0x3be7c385d4d7de89:0x65fcbd4711f70a25!8m2!3d19.0332773!4d73.0180734!16s%2Fg%2F11gmg60rsv!19sChIJid7X1IXD5zsRJQr3EUe9_GU?authuser=0&amp;hl=en&amp;rclk=1" TargetMode="External"/><Relationship Id="rId178" Type="http://schemas.openxmlformats.org/officeDocument/2006/relationships/hyperlink" Target="https://www.google.com/maps/place/UpSkin+Aesthetic+Clinic+by+Dr+Juilee/data=!4m7!3m6!1s0x3be7c371cb59c8e1:0x6e76fbd63c92c80f!8m2!3d19.0331154!4d73.0186739!16s%2Fg%2F11x999c_7_!19sChIJ4chZy3HD5zsRD8iSPNb7dm4?authuser=0&amp;hl=en&amp;rclk=1" TargetMode="External"/><Relationship Id="rId177" Type="http://schemas.openxmlformats.org/officeDocument/2006/relationships/hyperlink" Target="http://www.360homeocareclinic.com/" TargetMode="External"/><Relationship Id="rId20" Type="http://schemas.openxmlformats.org/officeDocument/2006/relationships/hyperlink" Target="https://www.google.com/maps/place/DR.+PARVEZ+UMAR+KHAN,+ROSHAN+UMAR+CLINIC,Family+Phsician+%28M.B.B.S%29Nerul,Navi+Mumbai/data=!4m7!3m6!1s0x3be7c36ec80371df:0x5fed2ab38de5bd89!8m2!3d19.0284367!4d73.0181821!16s%2Fg%2F11s2k6tmd9!19sChIJ33EDyG7D5zsRib3ljbMq7V8?authuser=0&amp;hl=en&amp;rclk=1" TargetMode="External"/><Relationship Id="rId22" Type="http://schemas.openxmlformats.org/officeDocument/2006/relationships/hyperlink" Target="https://www.google.com/maps/place/Dr+Suresh+Ade/data=!4m7!3m6!1s0x3be7c14b0b438087:0x8a4507f5b2b8135e!8m2!3d19.0418173!4d73.0193001!16s%2Fg%2F11c6pm6_m8!19sChIJh4BDC0vB5zsRXhO4svUHRYo?authuser=0&amp;hl=en&amp;rclk=1" TargetMode="External"/><Relationship Id="rId21" Type="http://schemas.openxmlformats.org/officeDocument/2006/relationships/hyperlink" Target="https://ssl.gstatic.com/local/servicebusiness/default_user.png" TargetMode="External"/><Relationship Id="rId24" Type="http://schemas.openxmlformats.org/officeDocument/2006/relationships/hyperlink" Target="https://drsureshadediabetologist.com/" TargetMode="External"/><Relationship Id="rId23" Type="http://schemas.openxmlformats.org/officeDocument/2006/relationships/hyperlink" Target="https://ssl.gstatic.com/local/servicebusiness/default_user.png" TargetMode="External"/><Relationship Id="rId26" Type="http://schemas.openxmlformats.org/officeDocument/2006/relationships/hyperlink" Target="https://ssl.gstatic.com/local/servicebusiness/default_user.png" TargetMode="External"/><Relationship Id="rId25" Type="http://schemas.openxmlformats.org/officeDocument/2006/relationships/hyperlink" Target="https://www.google.com/maps/place/Skin+Science+Clinic/data=!4m7!3m6!1s0x3be7c36b1840cb01:0xe12325ea03317617!8m2!3d19.0241021!4d73.0210187!16s%2Fg%2F11t4276g1s!19sChIJActAGGvD5zsRF3YxA-olI-E?authuser=0&amp;hl=en&amp;rclk=1" TargetMode="External"/><Relationship Id="rId28" Type="http://schemas.openxmlformats.org/officeDocument/2006/relationships/hyperlink" Target="https://www.google.com/maps/place/Dr.Chitra%27s+BellaDerma/data=!4m7!3m6!1s0x3be7c3f2fe429b63:0xfcbeea04dc4c9309!8m2!3d19.0297471!4d73.025239!16s%2Fg%2F11r_w828f0!19sChIJY5tC_vLD5zsRCZNM3ATqvvw?authuser=0&amp;hl=en&amp;rclk=1" TargetMode="External"/><Relationship Id="rId27" Type="http://schemas.openxmlformats.org/officeDocument/2006/relationships/hyperlink" Target="https://skinsciencemumbai.com/" TargetMode="External"/><Relationship Id="rId29" Type="http://schemas.openxmlformats.org/officeDocument/2006/relationships/hyperlink" Target="https://ssl.gstatic.com/local/servicebusiness/default_user.png" TargetMode="External"/><Relationship Id="rId11" Type="http://schemas.openxmlformats.org/officeDocument/2006/relationships/hyperlink" Target="https://ssl.gstatic.com/local/servicebusiness/default_user.png" TargetMode="External"/><Relationship Id="rId10" Type="http://schemas.openxmlformats.org/officeDocument/2006/relationships/hyperlink" Target="https://www.google.com/maps/place/Parasnath+Speciality+Clinics+%7C+Knee+and+Spine+Clinic+in+Vashi,+Navi+Mumbai/data=!4m7!3m6!1s0x3be7c1dfafcc8b65:0xbaba3c2e67be05d4!8m2!3d19.0737122!4d72.9992978!16s%2Fg%2F11fk2mhxc4!19sChIJZYvMr9_B5zsR1AW-Zy48uro?authuser=0&amp;hl=en&amp;rclk=1" TargetMode="External"/><Relationship Id="rId13" Type="http://schemas.openxmlformats.org/officeDocument/2006/relationships/hyperlink" Target="https://www.google.com/maps/place/Sanjeevni+Clinic-+The+Family+Doctor/data=!4m7!3m6!1s0x3be7c1cea7b703fb:0x600191e4e76c7976!8m2!3d19.0390708!4d73.01777!16s%2Fg%2F11shj5hf25!19sChIJ-wO3p87B5zsRdnls5-SRAWA?authuser=0&amp;hl=en&amp;rclk=1" TargetMode="External"/><Relationship Id="rId12" Type="http://schemas.openxmlformats.org/officeDocument/2006/relationships/hyperlink" Target="https://parasnathclinics.com/" TargetMode="External"/><Relationship Id="rId15" Type="http://schemas.openxmlformats.org/officeDocument/2006/relationships/hyperlink" Target="https://www.google.com/maps/place/Dr.+Salman%27s+Healthcare+clinic/data=!4m7!3m6!1s0x3be7c3e97713dd7f:0x3e624dd525be13e9!8m2!3d19.034756!4d73.01564!16s%2Fg%2F11rmx06x2j!19sChIJf90Td-nD5zsR6RO-JdVNYj4?authuser=0&amp;hl=en&amp;rclk=1" TargetMode="External"/><Relationship Id="rId198" Type="http://schemas.openxmlformats.org/officeDocument/2006/relationships/hyperlink" Target="https://www.google.com/maps/place/MPCT+Hospital/data=!4m7!3m6!1s0x3be7c15cb5740b23:0xe449834910676dda!8m2!3d19.0630462!4d73.0125691!16s%2Fg%2F11c0xnyl1q!19sChIJIwt0tVzB5zsR2m1nEEmDSeQ?authuser=0&amp;hl=en&amp;rclk=1" TargetMode="External"/><Relationship Id="rId14" Type="http://schemas.openxmlformats.org/officeDocument/2006/relationships/hyperlink" Target="https://ssl.gstatic.com/local/servicebusiness/default_user.png" TargetMode="External"/><Relationship Id="rId197" Type="http://schemas.openxmlformats.org/officeDocument/2006/relationships/hyperlink" Target="https://dypatilhealthcare.com/" TargetMode="External"/><Relationship Id="rId17" Type="http://schemas.openxmlformats.org/officeDocument/2006/relationships/hyperlink" Target="https://www.google.com/maps/place/Lions+Hospital/data=!4m7!3m6!1s0x3be7c0d766c60807:0xdadd8c3a5ffb464a!8m2!3d19.1005881!4d73.0047438!16s%2Fg%2F1tf7qlnq!19sChIJBwjGZtfA5zsRSkb7XzqM3do?authuser=0&amp;hl=en&amp;rclk=1" TargetMode="External"/><Relationship Id="rId196" Type="http://schemas.openxmlformats.org/officeDocument/2006/relationships/hyperlink" Target="https://ssl.gstatic.com/local/servicebusiness/default_user.png" TargetMode="External"/><Relationship Id="rId16" Type="http://schemas.openxmlformats.org/officeDocument/2006/relationships/hyperlink" Target="https://ssl.gstatic.com/local/servicebusiness/default_user.png" TargetMode="External"/><Relationship Id="rId195" Type="http://schemas.openxmlformats.org/officeDocument/2006/relationships/hyperlink" Target="https://www.google.com/maps/place/DY+Patil+Healthcare/data=!4m7!3m6!1s0x3be7c3db45555555:0xc0630db5ea0b5ed!8m2!3d19.0409427!4d73.0245966!16s%2Fg%2F11fnp9gd3f!19sChIJVVVVRdvD5zsR7bWgXtswBgw?authuser=0&amp;hl=en&amp;rclk=1" TargetMode="External"/><Relationship Id="rId19" Type="http://schemas.openxmlformats.org/officeDocument/2006/relationships/hyperlink" Target="http://lionshospital.co.in/" TargetMode="External"/><Relationship Id="rId18" Type="http://schemas.openxmlformats.org/officeDocument/2006/relationships/hyperlink" Target="https://ssl.gstatic.com/local/servicebusiness/default_user.png" TargetMode="External"/><Relationship Id="rId199" Type="http://schemas.openxmlformats.org/officeDocument/2006/relationships/hyperlink" Target="https://ssl.gstatic.com/local/servicebusiness/default_user.png" TargetMode="External"/><Relationship Id="rId84" Type="http://schemas.openxmlformats.org/officeDocument/2006/relationships/hyperlink" Target="https://www.google.com/maps/place/Dr+Ghogare%27s/data=!4m7!3m6!1s0x3be7c331998fcdeb:0xfd98877b283a9f5e!8m2!3d19.0250148!4d73.0223871!16s%2Fg%2F11h54x3yfp!19sChIJ682PmTHD5zsRXp86KHuHmP0?authuser=0&amp;hl=en&amp;rclk=1" TargetMode="External"/><Relationship Id="rId83" Type="http://schemas.openxmlformats.org/officeDocument/2006/relationships/hyperlink" Target="https://ssl.gstatic.com/local/servicebusiness/default_user.png" TargetMode="External"/><Relationship Id="rId86" Type="http://schemas.openxmlformats.org/officeDocument/2006/relationships/hyperlink" Target="https://myheartclinics.com/index.php" TargetMode="External"/><Relationship Id="rId85" Type="http://schemas.openxmlformats.org/officeDocument/2006/relationships/hyperlink" Target="https://ssl.gstatic.com/local/servicebusiness/default_user.png" TargetMode="External"/><Relationship Id="rId88" Type="http://schemas.openxmlformats.org/officeDocument/2006/relationships/hyperlink" Target="https://ssl.gstatic.com/local/servicebusiness/default_user.png" TargetMode="External"/><Relationship Id="rId150" Type="http://schemas.openxmlformats.org/officeDocument/2006/relationships/hyperlink" Target="https://ssl.gstatic.com/local/servicebusiness/default_user.png" TargetMode="External"/><Relationship Id="rId271" Type="http://schemas.openxmlformats.org/officeDocument/2006/relationships/hyperlink" Target="https://askhomeo.com/" TargetMode="External"/><Relationship Id="rId87" Type="http://schemas.openxmlformats.org/officeDocument/2006/relationships/hyperlink" Target="https://www.google.com/maps/place/Sai+Clinic/data=!4m7!3m6!1s0x3be7c3ea1fe82e29:0xcd08ba9e0de631df!8m2!3d19.0349762!4d73.0153322!16s%2Fg%2F1pp2tyy6x!19sChIJKS7oH-rD5zsR3zHmDZ66CM0?authuser=0&amp;hl=en&amp;rclk=1" TargetMode="External"/><Relationship Id="rId270" Type="http://schemas.openxmlformats.org/officeDocument/2006/relationships/hyperlink" Target="https://ssl.gstatic.com/local/servicebusiness/default_user.png" TargetMode="External"/><Relationship Id="rId89" Type="http://schemas.openxmlformats.org/officeDocument/2006/relationships/hyperlink" Target="https://www.google.com/maps/place/Dr.Garje+Ayurved+Clinic+%26+Panchakarma+Centre/data=!4m7!3m6!1s0x3be7c3c1e2cd4725:0xe3749dd4caa1bd0a!8m2!3d19.0343512!4d73.0169596!16s%2Fg%2F1hc8421c4!19sChIJJUfN4sHD5zsRCr2hytSddOM?authuser=0&amp;hl=en&amp;rclk=1" TargetMode="External"/><Relationship Id="rId80" Type="http://schemas.openxmlformats.org/officeDocument/2006/relationships/hyperlink" Target="https://www.google.com/maps/place/SHIFA+CLINIC+%26+HIJAMA+CENTER+%28DR+MOHD+ALIM%29/data=!4m7!3m6!1s0x3be7c3c395231817:0x9d389d4e4eeb3d10!8m2!3d19.036286!4d73.0214383!16s%2Fg%2F11tcwlhwgn!19sChIJFxgjlcPD5zsRED3rTk6dOJ0?authuser=0&amp;hl=en&amp;rclk=1" TargetMode="External"/><Relationship Id="rId82" Type="http://schemas.openxmlformats.org/officeDocument/2006/relationships/hyperlink" Target="https://www.google.com/maps/place/TAWTE+clinic/data=!4m7!3m6!1s0x3be7c309ac054a59:0x615528e027fbdf20!8m2!3d19.0291268!4d73.0231878!16s%2Fg%2F11fk1410nx!19sChIJWUoFrAnD5zsRIN_7J-AoVWE?authuser=0&amp;hl=en&amp;rclk=1" TargetMode="External"/><Relationship Id="rId81" Type="http://schemas.openxmlformats.org/officeDocument/2006/relationships/hyperlink" Target="https://ssl.gstatic.com/local/servicebusiness/default_user.png" TargetMode="External"/><Relationship Id="rId1" Type="http://schemas.openxmlformats.org/officeDocument/2006/relationships/hyperlink" Target="https://www.google.com/maps/place/Family+Care+Clinic+Nerul+Navi+Mumbai/data=!4m7!3m6!1s0x3be7c3c934900977:0x57d39a810a8d346!8m2!3d19.0396026!4d73.017636!16s%2Fg%2F11vm7jbkdb!19sChIJdwmQNMnD5zsRRtOoEKg5fQU?authuser=0&amp;hl=en&amp;rclk=1" TargetMode="External"/><Relationship Id="rId2" Type="http://schemas.openxmlformats.org/officeDocument/2006/relationships/hyperlink" Target="https://ssl.gstatic.com/local/servicebusiness/default_user.png" TargetMode="External"/><Relationship Id="rId3" Type="http://schemas.openxmlformats.org/officeDocument/2006/relationships/hyperlink" Target="https://www.google.com/maps/place/Family+Health+Clinic/data=!4m7!3m6!1s0x3be7c3751b6a4f49:0x64c685205b2a7c4c!8m2!3d19.0311396!4d73.0268152!16s%2Fg%2F11t6n7_wh9!19sChIJSU9qG3XD5zsRTHwqWyCFxmQ?authuser=0&amp;hl=en&amp;rclk=1" TargetMode="External"/><Relationship Id="rId149" Type="http://schemas.openxmlformats.org/officeDocument/2006/relationships/hyperlink" Target="https://www.google.com/maps/place/Dr.+Veeral+Aliporewala/data=!4m7!3m6!1s0x3be7c399471d2bc7:0xfcf2f07f1e421a6e!8m2!3d19.0135779!4d73.011015!16s%2Fg%2F11fp47mwrk!19sChIJxysdR5nD5zsRbhpCHn_w8vw?authuser=0&amp;hl=en&amp;rclk=1" TargetMode="External"/><Relationship Id="rId4" Type="http://schemas.openxmlformats.org/officeDocument/2006/relationships/hyperlink" Target="https://ssl.gstatic.com/local/servicebusiness/default_user.png" TargetMode="External"/><Relationship Id="rId148" Type="http://schemas.openxmlformats.org/officeDocument/2006/relationships/hyperlink" Target="https://navimumbai.kokilabenhospital.com/" TargetMode="External"/><Relationship Id="rId269" Type="http://schemas.openxmlformats.org/officeDocument/2006/relationships/hyperlink" Target="https://www.google.com/maps/place/SweetPills+Homeopathy+Clinics+%E2%80%93+Seawoods+%28Best+Homeopathy+Doctor+in+Navi+Mumbai%29/data=!4m7!3m6!1s0x3be7c3be73b4f329:0x9f205b3ba9f06bb3!8m2!3d19.0232165!4d73.0204214!16s%2Fg%2F1pt_1cz4c!19sChIJKfO0c77D5zsRs2vwqTtbIJ8?authuser=0&amp;hl=en&amp;rclk=1" TargetMode="External"/><Relationship Id="rId9" Type="http://schemas.openxmlformats.org/officeDocument/2006/relationships/hyperlink" Target="https://ssl.gstatic.com/local/servicebusiness/default_user.png" TargetMode="External"/><Relationship Id="rId143" Type="http://schemas.openxmlformats.org/officeDocument/2006/relationships/hyperlink" Target="https://www.drshalindubey.com/" TargetMode="External"/><Relationship Id="rId264" Type="http://schemas.openxmlformats.org/officeDocument/2006/relationships/hyperlink" Target="https://www.google.com/maps/place/Dr.+Salil+Vijay+Patkar+-+Best+Medical+Oncologist+in+Navi+Mumbai+%7C+Apollo+Hospital+Navi+Mumbai/data=!4m7!3m6!1s0x3be7c3b0e19e8f69:0xfc48289fde73f93d!8m2!3d19.0231511!4d73.0314235!16s%2Fg%2F11ft5v48j1!19sChIJaY-e4bDD5zsRPflz3p8oSPw?authuser=0&amp;hl=en&amp;rclk=1" TargetMode="External"/><Relationship Id="rId142" Type="http://schemas.openxmlformats.org/officeDocument/2006/relationships/hyperlink" Target="https://ssl.gstatic.com/local/servicebusiness/default_user.png" TargetMode="External"/><Relationship Id="rId263" Type="http://schemas.openxmlformats.org/officeDocument/2006/relationships/hyperlink" Target="https://clovedental.in/dentist-near-me/navi-mumbai/sector-8nerulnavi-mumbai?utm_source=website&amp;utm_medium=gmb&amp;utm_campaign=Sector_8_Nerul_Navi_Mumbai_GMB" TargetMode="External"/><Relationship Id="rId141" Type="http://schemas.openxmlformats.org/officeDocument/2006/relationships/hyperlink" Target="https://www.google.com/maps/place/Dr.+Shalin+Dubey,+Robotic+%26+Laparoscopic+Surgeon/data=!4m7!3m6!1s0x3be7c3b75c7e461f:0xf4ccfaf00a176c3a!8m2!3d19.0237437!4d73.0277338!16s%2Fg%2F11gfdbl3_z!19sChIJH0Z-XLfD5zsROmwXCvD6zPQ?authuser=0&amp;hl=en&amp;rclk=1" TargetMode="External"/><Relationship Id="rId262" Type="http://schemas.openxmlformats.org/officeDocument/2006/relationships/hyperlink" Target="https://ssl.gstatic.com/local/servicebusiness/default_user.png" TargetMode="External"/><Relationship Id="rId140" Type="http://schemas.openxmlformats.org/officeDocument/2006/relationships/hyperlink" Target="https://drmadhavimd.com/" TargetMode="External"/><Relationship Id="rId261" Type="http://schemas.openxmlformats.org/officeDocument/2006/relationships/hyperlink" Target="https://www.google.com/maps/place/Clove+Dental+Clinic+-+Nerul+Sector+8,+Navi+Mumbai/data=!4m7!3m6!1s0x3be7c38379107e29:0xa53fc15c83c872c2!8m2!3d19.040947!4d73.0148091!16s%2Fg%2F11y7tg53v2!19sChIJKX4QeYPD5zsRwnLIg1zBP6U?authuser=0&amp;hl=en&amp;rclk=1" TargetMode="External"/><Relationship Id="rId5" Type="http://schemas.openxmlformats.org/officeDocument/2006/relationships/hyperlink" Target="https://www.google.com/maps/place/Apollo+Hospital,/data=!4m7!3m6!1s0x3be7c3903a3c9297:0xb858a25d34856005!8m2!3d19.0208646!4d73.0287337!16s%2Fg%2F11plkkvf08!19sChIJl5I8OpDD5zsRBWCFNF2iWLg?authuser=0&amp;hl=en&amp;rclk=1" TargetMode="External"/><Relationship Id="rId147" Type="http://schemas.openxmlformats.org/officeDocument/2006/relationships/hyperlink" Target="https://ssl.gstatic.com/local/servicebusiness/default_user.png" TargetMode="External"/><Relationship Id="rId268" Type="http://schemas.openxmlformats.org/officeDocument/2006/relationships/hyperlink" Target="https://ssl.gstatic.com/local/servicebusiness/default_user.png" TargetMode="External"/><Relationship Id="rId6" Type="http://schemas.openxmlformats.org/officeDocument/2006/relationships/hyperlink" Target="https://ssl.gstatic.com/local/servicebusiness/default_user.png" TargetMode="External"/><Relationship Id="rId146" Type="http://schemas.openxmlformats.org/officeDocument/2006/relationships/hyperlink" Target="https://www.google.com/maps/place/Kokilaben+Dhirubhai+Ambani+Hospital/data=!4m7!3m6!1s0x3be7c0de93e7897b:0x8b1917237744e89b!8m2!3d19.1029024!4d73.012937!16s%2Fg%2F11f4l9rq3d!19sChIJe4nnk97A5zsRm-hEdyMXGYs?authuser=0&amp;hl=en&amp;rclk=1" TargetMode="External"/><Relationship Id="rId267" Type="http://schemas.openxmlformats.org/officeDocument/2006/relationships/hyperlink" Target="https://www.google.com/maps/place/Kids+Clinic/data=!4m7!3m6!1s0x3be7c3bfc1f5506d:0x1f7ed60cc3af128!8m2!3d19.0240321!4d73.0178303!16s%2Fg%2F1pp2txs04!19sChIJbVD1wb_D5zsRKPE6zGDt9wE?authuser=0&amp;hl=en&amp;rclk=1" TargetMode="External"/><Relationship Id="rId7" Type="http://schemas.openxmlformats.org/officeDocument/2006/relationships/hyperlink" Target="https://www.apollohospitals.com/hospitals/apollo-hospitals-mumbai" TargetMode="External"/><Relationship Id="rId145" Type="http://schemas.openxmlformats.org/officeDocument/2006/relationships/hyperlink" Target="https://ssl.gstatic.com/local/servicebusiness/default_user.png" TargetMode="External"/><Relationship Id="rId266" Type="http://schemas.openxmlformats.org/officeDocument/2006/relationships/hyperlink" Target="https://www.apollohospitals.com/doctors/medical-oncologist/mumbai/dr-salil-vijay-patkar" TargetMode="External"/><Relationship Id="rId8" Type="http://schemas.openxmlformats.org/officeDocument/2006/relationships/hyperlink" Target="https://www.google.com/maps/place/Jalphama+Clinic+%28+Dr.+Bhanushali%29/data=!4m7!3m6!1s0x3be7c3c7911986eb:0x74e823347d80b11d!8m2!3d19.031161!4d73.026728!16s%2Fg%2F1pv2l2tyb!19sChIJ64YZkcfD5zsRHbGAfTQj6HQ?authuser=0&amp;hl=en&amp;rclk=1" TargetMode="External"/><Relationship Id="rId144" Type="http://schemas.openxmlformats.org/officeDocument/2006/relationships/hyperlink" Target="https://www.google.com/maps/place/Dr+Chandan+Saha+MBBS+Clinic/data=!4m7!3m6!1s0x3be7c346e855170b:0x91ca99af8cacdbea!8m2!3d19.0401059!4d73.0176641!16s%2Fg%2F11c2qpjp0n!19sChIJCxdV6EbD5zsR6tusjK-ZypE?authuser=0&amp;hl=en&amp;rclk=1" TargetMode="External"/><Relationship Id="rId265" Type="http://schemas.openxmlformats.org/officeDocument/2006/relationships/hyperlink" Target="https://ssl.gstatic.com/local/servicebusiness/default_user.png" TargetMode="External"/><Relationship Id="rId73" Type="http://schemas.openxmlformats.org/officeDocument/2006/relationships/hyperlink" Target="https://ssl.gstatic.com/local/servicebusiness/default_user.png" TargetMode="External"/><Relationship Id="rId72" Type="http://schemas.openxmlformats.org/officeDocument/2006/relationships/hyperlink" Target="https://www.google.com/maps/place/Roselle+Skin+Clinic/data=!4m7!3m6!1s0x3be7c3d3d69e366f:0xa86c4b8733e4ee99!8m2!3d19.037539!4d73.0189684!16s%2Fg%2F11yjn3xyt5!19sChIJbzae1tPD5zsRme7kM4dLbKg?authuser=0&amp;hl=en&amp;rclk=1" TargetMode="External"/><Relationship Id="rId75" Type="http://schemas.openxmlformats.org/officeDocument/2006/relationships/hyperlink" Target="https://www.google.com/maps/place/Restore+Aesthetic+Clinic/data=!4m7!3m6!1s0x3be7c3c0b8bf2fc3:0x6a79483b3aa2c9fc!8m2!3d19.0310537!4d73.0217795!16s%2Fg%2F11ryd8kgq5!19sChIJwy-_uMDD5zsR_MmiOjtIeWo?authuser=0&amp;hl=en&amp;rclk=1" TargetMode="External"/><Relationship Id="rId74" Type="http://schemas.openxmlformats.org/officeDocument/2006/relationships/hyperlink" Target="https://www.roselleskinclinic.com/" TargetMode="External"/><Relationship Id="rId77" Type="http://schemas.openxmlformats.org/officeDocument/2006/relationships/hyperlink" Target="https://www.restoreclinics.in/" TargetMode="External"/><Relationship Id="rId260" Type="http://schemas.openxmlformats.org/officeDocument/2006/relationships/hyperlink" Target="https://www.google.com/maps/place/Ayush+Clinic/data=!4m7!3m6!1s0x3be7c3ea25555555:0x639edf4685ce5535!8m2!3d19.0341284!4d73.0146921!16s%2Fg%2F11srv8y1lx!19sChIJVVVVJerD5zsRNVXOhUbfnmM?authuser=0&amp;hl=en&amp;rclk=1" TargetMode="External"/><Relationship Id="rId76" Type="http://schemas.openxmlformats.org/officeDocument/2006/relationships/hyperlink" Target="https://ssl.gstatic.com/local/servicebusiness/default_user.png" TargetMode="External"/><Relationship Id="rId79" Type="http://schemas.openxmlformats.org/officeDocument/2006/relationships/hyperlink" Target="https://www.google.com/maps/place/CLINIC/data=!4m7!3m6!1s0x3be7c12073549679:0xd6faf8e891d267c0!8m2!3d21.0680074!4d82.7525294!16s%2Fg%2F11mlsbg5n7!19sChIJeZZUcyDB5zsRwGfSkej4-tY?authuser=0&amp;hl=en&amp;rclk=1" TargetMode="External"/><Relationship Id="rId78" Type="http://schemas.openxmlformats.org/officeDocument/2006/relationships/hyperlink" Target="https://www.google.com/maps/place/Om+Clinic/data=!4m7!3m6!1s0x3be7c1316a7f9e77:0xcab164d190041735!8m2!3d19.080912!4d73.0004416!16s%2Fg%2F11tx_y_c22!19sChIJd55_ajHB5zsRNRcEkNFksco?authuser=0&amp;hl=en&amp;rclk=1" TargetMode="External"/><Relationship Id="rId71" Type="http://schemas.openxmlformats.org/officeDocument/2006/relationships/hyperlink" Target="https://www.sparshskinclinics.com/" TargetMode="External"/><Relationship Id="rId70" Type="http://schemas.openxmlformats.org/officeDocument/2006/relationships/hyperlink" Target="https://ssl.gstatic.com/local/servicebusiness/default_user.png" TargetMode="External"/><Relationship Id="rId139" Type="http://schemas.openxmlformats.org/officeDocument/2006/relationships/hyperlink" Target="https://ssl.gstatic.com/local/servicebusiness/default_user.png" TargetMode="External"/><Relationship Id="rId138" Type="http://schemas.openxmlformats.org/officeDocument/2006/relationships/hyperlink" Target="https://www.google.com/maps/place/Dr.+Kshitij+Thoke/data=!4m7!3m6!1s0x3be7c217f42b6fc7:0xa25bbaa26d3e13bb!8m2!3d19.0469748!4d73.0700633!16s%2Fg%2F11b7tyswsm!19sChIJx28r9BfC5zsRuxM-baK6W6I?authuser=0&amp;hl=en&amp;rclk=1" TargetMode="External"/><Relationship Id="rId259" Type="http://schemas.openxmlformats.org/officeDocument/2006/relationships/hyperlink" Target="http://drsangani.in/" TargetMode="External"/><Relationship Id="rId137" Type="http://schemas.openxmlformats.org/officeDocument/2006/relationships/hyperlink" Target="https://www.starheartclinic.co/" TargetMode="External"/><Relationship Id="rId258" Type="http://schemas.openxmlformats.org/officeDocument/2006/relationships/hyperlink" Target="https://ssl.gstatic.com/local/servicebusiness/default_user.png" TargetMode="External"/><Relationship Id="rId132" Type="http://schemas.openxmlformats.org/officeDocument/2006/relationships/hyperlink" Target="https://www.drkalpeshmande.com/" TargetMode="External"/><Relationship Id="rId253" Type="http://schemas.openxmlformats.org/officeDocument/2006/relationships/hyperlink" Target="https://ssl.gstatic.com/local/servicebusiness/default_user.png" TargetMode="External"/><Relationship Id="rId131" Type="http://schemas.openxmlformats.org/officeDocument/2006/relationships/hyperlink" Target="https://ssl.gstatic.com/local/servicebusiness/default_user.png" TargetMode="External"/><Relationship Id="rId252" Type="http://schemas.openxmlformats.org/officeDocument/2006/relationships/hyperlink" Target="https://www.google.com/maps/place/Centre+For+Sight+%7C+Nerul+%7C+Navi+Mumbai/data=!4m7!3m6!1s0x3be7c3c6b1555555:0x7a370656617c2e06!8m2!3d19.0238561!4d73.021885!16s%2Fg%2F1ptwt1mns!19sChIJVVVVscbD5zsRBi58YVYGN3o?authuser=0&amp;hl=en&amp;rclk=1" TargetMode="External"/><Relationship Id="rId130" Type="http://schemas.openxmlformats.org/officeDocument/2006/relationships/hyperlink" Target="https://www.google.com/maps/place/Dr.+Kalpesh+Mande+Ayurvedic+%26+Physiotherapy+Clinic/data=!4m7!3m6!1s0x3be7c1318fb00e69:0xf8bfe3bf2c3b161!8m2!3d19.0821344!4d72.9994654!16s%2Fg%2F11fzf4p481!19sChIJaQ6wjzHB5zsRYbHD8jv-iw8?authuser=0&amp;hl=en&amp;rclk=1" TargetMode="External"/><Relationship Id="rId251" Type="http://schemas.openxmlformats.org/officeDocument/2006/relationships/hyperlink" Target="https://yara-acupuncturist.grexa.site/" TargetMode="External"/><Relationship Id="rId250" Type="http://schemas.openxmlformats.org/officeDocument/2006/relationships/hyperlink" Target="https://ssl.gstatic.com/local/servicebusiness/default_user.png" TargetMode="External"/><Relationship Id="rId136" Type="http://schemas.openxmlformats.org/officeDocument/2006/relationships/hyperlink" Target="https://ssl.gstatic.com/local/servicebusiness/default_user.png" TargetMode="External"/><Relationship Id="rId257" Type="http://schemas.openxmlformats.org/officeDocument/2006/relationships/hyperlink" Target="https://www.google.com/maps/place/Dr+Sangani+Diagnostic+Centre/data=!4m7!3m6!1s0x3be7c3c151abb75d:0x8933c9d50912ed4b!8m2!3d19.0386897!4d73.0202252!16s%2Fg%2F1tr7b8cy!19sChIJXberUcHD5zsRS-0SCdXJM4k?authuser=0&amp;hl=en&amp;rclk=1" TargetMode="External"/><Relationship Id="rId135" Type="http://schemas.openxmlformats.org/officeDocument/2006/relationships/hyperlink" Target="https://www.google.com/maps/place/Star+Heart+Clinic+-+Dr+Rakesh+Tirmale,+Cardiologist+Nerul+Navi+Mumbai/data=!4m7!3m6!1s0x3be7c3d5d828d4e5:0x980fae5edd0e7ef3!8m2!3d19.0474483!4d73.0190201!16s%2Fg%2F11ls2jzt3c!19sChIJ5dQo2NXD5zsR834O3V6uD5g?authuser=0&amp;hl=en&amp;rclk=1" TargetMode="External"/><Relationship Id="rId256" Type="http://schemas.openxmlformats.org/officeDocument/2006/relationships/hyperlink" Target="https://ssl.gstatic.com/local/servicebusiness/default_user.png" TargetMode="External"/><Relationship Id="rId134" Type="http://schemas.openxmlformats.org/officeDocument/2006/relationships/hyperlink" Target="https://ssl.gstatic.com/local/servicebusiness/default_user.png" TargetMode="External"/><Relationship Id="rId255" Type="http://schemas.openxmlformats.org/officeDocument/2006/relationships/hyperlink" Target="https://www.google.com/maps/place/Dr+Modak%27s+Harmony+Homoeopathic+Clinic/data=!4m7!3m6!1s0x3be7c371d7cc6ab3:0x54f5a88bb02c46cd!8m2!3d19.0227311!4d73.0211799!16s%2Fg%2F11ghpzk27l!19sChIJs2rM13HD5zsRzUYssIuo9VQ?authuser=0&amp;hl=en&amp;rclk=1" TargetMode="External"/><Relationship Id="rId133" Type="http://schemas.openxmlformats.org/officeDocument/2006/relationships/hyperlink" Target="https://www.google.com/maps/place/Dr.+Marwa+Deshmukh+%7C+MD+Dermatology+%26+Venereal+Diseases+%7C+Navi+Mumbai/data=!4m7!3m6!1s0x3be7c328737d0557:0xb9b90db7c42db6b8!8m2!3d19.0365552!4d73.0222877!16s%2Fg%2F11n541zw8k!19sChIJVwV9cyjD5zsRuLYtxLcNubk?authuser=0&amp;hl=en&amp;rclk=1" TargetMode="External"/><Relationship Id="rId254" Type="http://schemas.openxmlformats.org/officeDocument/2006/relationships/hyperlink" Target="https://www.centreforsight.net/eye-hospitals-in-india/mumbai/navi-mumbai?utm_source=GMB&amp;utm_medium=Local+Pack&amp;utm_campaign=GMB_Navi_Mumbai_Mumbai" TargetMode="External"/><Relationship Id="rId62" Type="http://schemas.openxmlformats.org/officeDocument/2006/relationships/hyperlink" Target="https://www.google.com/maps/place/Dr.+Divyashree+Infectious+Diseases+%26+Vaccination+Clinic+in+Nerul,+Navi+Mumbai/data=!4m7!3m6!1s0x3be7c37cc6529ced:0x7d955bb3f3d793cf!8m2!3d19.0237908!4d73.0227001!16s%2Fg%2F11z8symppq!19sChIJ7ZxSxnzD5zsRz5PX87NblX0?authuser=0&amp;hl=en&amp;rclk=1" TargetMode="External"/><Relationship Id="rId61" Type="http://schemas.openxmlformats.org/officeDocument/2006/relationships/hyperlink" Target="https://ssl.gstatic.com/local/servicebusiness/default_user.png" TargetMode="External"/><Relationship Id="rId64" Type="http://schemas.openxmlformats.org/officeDocument/2006/relationships/hyperlink" Target="https://divyashreeidclinic.com/" TargetMode="External"/><Relationship Id="rId63" Type="http://schemas.openxmlformats.org/officeDocument/2006/relationships/hyperlink" Target="https://ssl.gstatic.com/local/servicebusiness/default_user.png" TargetMode="External"/><Relationship Id="rId66" Type="http://schemas.openxmlformats.org/officeDocument/2006/relationships/hyperlink" Target="https://www.google.com/maps/place/Nitai+children%27s+Clinic/data=!4m7!3m6!1s0x3be7c3a3064edaff:0x573a3fef53967679!8m2!3d19.030229!4d73.0225636!16s%2Fg%2F11g0s844bj!19sChIJ_9pOBqPD5zsReXaWU-8_Olc?authuser=0&amp;hl=en&amp;rclk=1" TargetMode="External"/><Relationship Id="rId172" Type="http://schemas.openxmlformats.org/officeDocument/2006/relationships/hyperlink" Target="https://www.google.com/maps/place/D+Y+Patil+Hospital/data=!4m7!3m6!1s0x3be7c618a5555555:0xa446b85191e625c8!8m2!3d19.0411561!4d73.0246854!16s%2Fg%2F11csrv8x53!19sChIJVVVVpRjG5zsRyCXmkVG4RqQ?authuser=0&amp;hl=en&amp;rclk=1" TargetMode="External"/><Relationship Id="rId293" Type="http://schemas.openxmlformats.org/officeDocument/2006/relationships/hyperlink" Target="https://vlcc.com/clinics/beauty-wellness-clinic-seawoods,-navi-mumbai/264" TargetMode="External"/><Relationship Id="rId65" Type="http://schemas.openxmlformats.org/officeDocument/2006/relationships/hyperlink" Target="https://www.google.com/maps/place/Dr+Pallavi+Clinic/data=!4m7!3m6!1s0x3be7c324c2fee1a7:0x955cfc8ff5ea8c55!8m2!3d19.0298618!4d73.0153222!16s%2Fg%2F11k434fxvp!19sChIJp-H-wiTD5zsRVYzq9Y_8XJU?authuser=0&amp;hl=en&amp;rclk=1" TargetMode="External"/><Relationship Id="rId171" Type="http://schemas.openxmlformats.org/officeDocument/2006/relationships/hyperlink" Target="https://naneshhospital.com/" TargetMode="External"/><Relationship Id="rId292" Type="http://schemas.openxmlformats.org/officeDocument/2006/relationships/hyperlink" Target="https://ssl.gstatic.com/local/servicebusiness/default_user.png" TargetMode="External"/><Relationship Id="rId68" Type="http://schemas.openxmlformats.org/officeDocument/2006/relationships/hyperlink" Target="https://dromprakashj.getmy.clinic/" TargetMode="External"/><Relationship Id="rId170" Type="http://schemas.openxmlformats.org/officeDocument/2006/relationships/hyperlink" Target="https://www.google.com/maps/place/Acharya+Shri+Nanesh+Hospital/data=!4m7!3m6!1s0x3be7c23539fec13b:0xd98d02fabb970045!8m2!3d19.033325!4d73.041195!16s%2Fg%2F12cpldkhr!19sChIJO8H-OTXC5zsRRQCXu_oCjdk?authuser=0&amp;hl=en&amp;rclk=1" TargetMode="External"/><Relationship Id="rId291" Type="http://schemas.openxmlformats.org/officeDocument/2006/relationships/hyperlink" Target="https://www.google.com/maps/place/VLCC+Beauty+Clinic+%28Seawoods,+Navi+Mumbai+%29/data=!4m7!3m6!1s0x3be7c3f7cf111ec3:0x7484d41426c46d69!8m2!3d19.0119712!4d73.012314!16s%2Fg%2F11wg26f58z!19sChIJwx4Rz_fD5zsRaW3EJhTUhHQ?authuser=0&amp;hl=en&amp;rclk=1" TargetMode="External"/><Relationship Id="rId67" Type="http://schemas.openxmlformats.org/officeDocument/2006/relationships/hyperlink" Target="https://ssl.gstatic.com/local/servicebusiness/default_user.png" TargetMode="External"/><Relationship Id="rId290" Type="http://schemas.openxmlformats.org/officeDocument/2006/relationships/hyperlink" Target="https://www.motherhoodindia.com/locations/mumbai/?utm_source=mhi&amp;utm_medium=gmb&amp;utm_campaign=mumbai" TargetMode="External"/><Relationship Id="rId60" Type="http://schemas.openxmlformats.org/officeDocument/2006/relationships/hyperlink" Target="https://www.google.com/maps/place/Prana+Shakti+Clinic.+Dr+Ashwini+Raval.+Best+Homeopathic+Doctor+in+Navi+Mumbai./data=!4m7!3m6!1s0x3be7c330780f4c7f:0xf778a5042230e637!8m2!3d19.041258!4d73.010146!16s%2Fg%2F11w3zyl_fm!19sChIJf0wPeDDD5zsRN-YwIgSlePc?authuser=0&amp;hl=en&amp;rclk=1" TargetMode="External"/><Relationship Id="rId165" Type="http://schemas.openxmlformats.org/officeDocument/2006/relationships/hyperlink" Target="https://www.google.com/maps/place/Om+Physiotherapy+Clinic/data=!4m7!3m6!1s0x3be7c3c0ae5bdad7:0x61938f5a6891e2c8!8m2!3d19.0304069!4d73.0223393!16s%2Fg%2F1thl3x03!19sChIJ19pbrsDD5zsRyOKRaFqPk2E?authuser=0&amp;hl=en&amp;rclk=1" TargetMode="External"/><Relationship Id="rId286" Type="http://schemas.openxmlformats.org/officeDocument/2006/relationships/hyperlink" Target="https://ssl.gstatic.com/local/servicebusiness/default_user.png" TargetMode="External"/><Relationship Id="rId69" Type="http://schemas.openxmlformats.org/officeDocument/2006/relationships/hyperlink" Target="https://www.google.com/maps/place/Sparsh+Skin+and+Hair+Cosmetology+Center/data=!4m7!3m6!1s0x3be7c0d9fb9d57bb:0xaa1e83806765c80f!8m2!3d19.1023143!4d73.0054881!16s%2Fg%2F1ptxqbj47!19sChIJu1ed-9nA5zsRD8hlZ4CDHqo?authuser=0&amp;hl=en&amp;rclk=1" TargetMode="External"/><Relationship Id="rId164" Type="http://schemas.openxmlformats.org/officeDocument/2006/relationships/hyperlink" Target="http://entnavimumbai.in/" TargetMode="External"/><Relationship Id="rId285" Type="http://schemas.openxmlformats.org/officeDocument/2006/relationships/hyperlink" Target="https://www.google.com/maps/place/Dr.+Jain%27s+Dental+%26+Health+Studio/data=!4m7!3m6!1s0x3be7c127bcb832fd:0xf0f9e04a5796e469!8m2!3d19.0956067!4d73.0073283!16s%2Fg%2F11d_9d67l2!19sChIJ_TK4vCfB5zsRaeSWV0rg-fA?authuser=0&amp;hl=en&amp;rclk=1" TargetMode="External"/><Relationship Id="rId163" Type="http://schemas.openxmlformats.org/officeDocument/2006/relationships/hyperlink" Target="https://www.google.com/maps/place/Dr.+Waghela%27s+ENT+and+Endoscopy+Clinic/data=!4m7!3m6!1s0x3be7c219f60ed645:0xc9edf24c3477faca!8m2!3d19.046816!4d73.069984!16s%2Fg%2F11f08yk6qr!19sChIJRdYO9hnC5zsRyvp3NEzy7ck?authuser=0&amp;hl=en&amp;rclk=1" TargetMode="External"/><Relationship Id="rId284" Type="http://schemas.openxmlformats.org/officeDocument/2006/relationships/hyperlink" Target="https://oroface.in/" TargetMode="External"/><Relationship Id="rId162" Type="http://schemas.openxmlformats.org/officeDocument/2006/relationships/hyperlink" Target="http://www.drkamleshgiri.com/" TargetMode="External"/><Relationship Id="rId283" Type="http://schemas.openxmlformats.org/officeDocument/2006/relationships/hyperlink" Target="https://ssl.gstatic.com/local/servicebusiness/default_user.png" TargetMode="External"/><Relationship Id="rId169" Type="http://schemas.openxmlformats.org/officeDocument/2006/relationships/hyperlink" Target="https://saishraddhamotherandchildcarecenter.com/" TargetMode="External"/><Relationship Id="rId168" Type="http://schemas.openxmlformats.org/officeDocument/2006/relationships/hyperlink" Target="https://www.google.com/maps/place/Sai+Shraddha+Mother+And+Child+Care+Clinic+-+Dr+Abhijit+Mhapankar/data=!4m7!3m6!1s0x3be7c3c287084589:0x24834ee60fb2a9a5!8m2!3d19.0301313!4d73.02502!16s%2Fg%2F11nfp5x8rq!19sChIJiUUIh8LD5zsRpamyD-ZOgyQ?authuser=0&amp;hl=en&amp;rclk=1" TargetMode="External"/><Relationship Id="rId289" Type="http://schemas.openxmlformats.org/officeDocument/2006/relationships/hyperlink" Target="https://ssl.gstatic.com/local/servicebusiness/default_user.png" TargetMode="External"/><Relationship Id="rId167" Type="http://schemas.openxmlformats.org/officeDocument/2006/relationships/hyperlink" Target="https://www.google.com/maps/place/Dr+Rahul+Bhatambre/data=!4m7!3m6!1s0x3be7c26a3fe726fb:0x9f05e057e93983a9!8m2!3d19.0334848!4d73.0655577!16s%2Fg%2F11c74_7fjp!19sChIJ-ybnP2rC5zsRqYM56VfgBZ8?authuser=0&amp;hl=en&amp;rclk=1" TargetMode="External"/><Relationship Id="rId288" Type="http://schemas.openxmlformats.org/officeDocument/2006/relationships/hyperlink" Target="https://www.google.com/maps/place/Motherhood+Hospital/data=!4m7!3m6!1s0x3be7c3a93f6092e5:0x73fab948d50aaf4c!8m2!3d19.0357324!4d73.0632202!16s%2Fg%2F11f6ktmrz6!19sChIJ5ZJgP6nD5zsRTK8K1Ui5-nM?authuser=0&amp;hl=en&amp;rclk=1" TargetMode="External"/><Relationship Id="rId166" Type="http://schemas.openxmlformats.org/officeDocument/2006/relationships/hyperlink" Target="http://www.omphysiotherapy.com/" TargetMode="External"/><Relationship Id="rId287" Type="http://schemas.openxmlformats.org/officeDocument/2006/relationships/hyperlink" Target="https://drjainsdentalstudio.com/" TargetMode="External"/><Relationship Id="rId51" Type="http://schemas.openxmlformats.org/officeDocument/2006/relationships/hyperlink" Target="https://www.google.com/maps/place/Dr+Batra%E2%80%99s+Homeopathy+Clinic/data=!4m7!3m6!1s0x3be7c3c0c782483b:0xe0a102e770fe4288!8m2!3d19.0310537!4d73.0217795!16s%2Fg%2F12hr5cmft!19sChIJO0iCx8DD5zsRiEL-cOcCoeA?authuser=0&amp;hl=en&amp;rclk=1" TargetMode="External"/><Relationship Id="rId50" Type="http://schemas.openxmlformats.org/officeDocument/2006/relationships/hyperlink" Target="https://www.echelonhospital.com/" TargetMode="External"/><Relationship Id="rId53" Type="http://schemas.openxmlformats.org/officeDocument/2006/relationships/hyperlink" Target="https://clinics.drbatras.com/navi-mumbai/homeopathy-clinic-sector-21" TargetMode="External"/><Relationship Id="rId52" Type="http://schemas.openxmlformats.org/officeDocument/2006/relationships/hyperlink" Target="https://ssl.gstatic.com/local/servicebusiness/default_user.png" TargetMode="External"/><Relationship Id="rId55" Type="http://schemas.openxmlformats.org/officeDocument/2006/relationships/hyperlink" Target="https://ssl.gstatic.com/local/servicebusiness/default_user.png" TargetMode="External"/><Relationship Id="rId161" Type="http://schemas.openxmlformats.org/officeDocument/2006/relationships/hyperlink" Target="https://www.google.com/maps/place/Dr.Kamlesh+Giri+%28+Dr.Giri%27s+Multispeciality+Homeopathic+Clinic+,Nerul+Branch+%29/data=!4m7!3m6!1s0x3be7c3bf32a5c74b:0x93bad37407fa5af!8m2!3d19.027531!4d73.0226!16s%2Fg%2F11c74ymgxy!19sChIJS8elMr_D5zsRr6V_QDetOwk?authuser=0&amp;hl=en&amp;rclk=1" TargetMode="External"/><Relationship Id="rId282" Type="http://schemas.openxmlformats.org/officeDocument/2006/relationships/hyperlink" Target="https://www.google.com/maps/place/OroFace%C2%AE+Dental+Clinic+Seawoods,+Navi+Mumbai/data=!4m7!3m6!1s0x3be7c3972b48f493:0x6d4dce716f56f618!8m2!3d19.0196096!4d73.0115372!16s%2Fg%2F11c707x3bh!19sChIJk_RIK5fD5zsRGPZWb3HOTW0?authuser=0&amp;hl=en&amp;rclk=1" TargetMode="External"/><Relationship Id="rId54" Type="http://schemas.openxmlformats.org/officeDocument/2006/relationships/hyperlink" Target="https://www.google.com/maps/place/SkinIQ+Skin+Clinic/data=!4m7!3m6!1s0x3be7c36e0a3f11ef:0x95f182a071cac221!8m2!3d19.0432094!4d73.0640734!16s%2Fg%2F11mvp6dv72!19sChIJ7xE_Cm7D5zsRIcLKcaCC8ZU?authuser=0&amp;hl=en&amp;rclk=1" TargetMode="External"/><Relationship Id="rId160" Type="http://schemas.openxmlformats.org/officeDocument/2006/relationships/hyperlink" Target="https://www.google.com/maps/place/Swati+Clinic/data=!4m7!3m6!1s0x3be7c3be8411eb9f:0x62f4c037b643228a!8m2!3d19.0241881!4d73.02036!16s%2Fg%2F11fxf0s4sy!19sChIJn-sRhL7D5zsRiiJDtjfA9GI?authuser=0&amp;hl=en&amp;rclk=1" TargetMode="External"/><Relationship Id="rId281" Type="http://schemas.openxmlformats.org/officeDocument/2006/relationships/hyperlink" Target="https://www.google.com/maps/place/Aniruddha+Health+Clinic/data=!4m7!3m6!1s0x3be7c24cb71e71f9:0x2fdc4500545e765a!8m2!3d19.0246747!4d73.0410086!16s%2Fg%2F11tdl6tyx6!19sChIJ-XEet0zC5zsRWnZeVABF3C8?authuser=0&amp;hl=en&amp;rclk=1" TargetMode="External"/><Relationship Id="rId57" Type="http://schemas.openxmlformats.org/officeDocument/2006/relationships/hyperlink" Target="https://www.google.com/maps/place/Dr.+Sanita%27s+Ananya+Women%27s+Clinic,+Best+Obstetrician+%26+Gynaecologist+in+Seawoods,+Navi+Mumbai+%7C+Maternity+%7C+Abortion+Clinic/data=!4m7!3m6!1s0x3be7c3abdfdd49c3:0x90063f53beb57217!8m2!3d19.0119188!4d73.0234878!16s%2Fg%2F11rg6xnq__!19sChIJw0nd36vD5zsRF3K1vlM_BpA?authuser=0&amp;hl=en&amp;rclk=1" TargetMode="External"/><Relationship Id="rId280" Type="http://schemas.openxmlformats.org/officeDocument/2006/relationships/hyperlink" Target="https://www.drmaheshghogare.com/" TargetMode="External"/><Relationship Id="rId56" Type="http://schemas.openxmlformats.org/officeDocument/2006/relationships/hyperlink" Target="https://www.skiniq.in/" TargetMode="External"/><Relationship Id="rId159" Type="http://schemas.openxmlformats.org/officeDocument/2006/relationships/hyperlink" Target="https://www.google.com/aclk?sa=L&amp;ai=DChsSEwjY_q3l5-OVAxXQhWYCHQ6GN9gYACICCAEQAhoCc20&amp;co=1&amp;ase=2&amp;gclid=CjwKCAjwsfzSBhB5EiwAOGyqScQrE05nG84DLc6zM3CT0ECLsZPDstKPGssFpOVH50_pSqQpix5jAhoChTM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2DBhIsv40g5AAZmcura5Ue0IhxNw&amp;adurl&amp;q&amp;ctype=99&amp;nis=6" TargetMode="External"/><Relationship Id="rId59" Type="http://schemas.openxmlformats.org/officeDocument/2006/relationships/hyperlink" Target="https://www.drsanitamishra.com/" TargetMode="External"/><Relationship Id="rId154" Type="http://schemas.openxmlformats.org/officeDocument/2006/relationships/hyperlink" Target="https://www.google.com/maps/place/Shree+Om+child+Clinic/data=!4m7!3m6!1s0x3be7c3782a01c23d:0x5c3aaa975a74713d!8m2!3d19.0298314!4d73.0254996!16s%2Fg%2F11rc4t9xsp!19sChIJPcIBKnjD5zsRPXF0WpeqOlw?authuser=0&amp;hl=en&amp;rclk=1" TargetMode="External"/><Relationship Id="rId275" Type="http://schemas.openxmlformats.org/officeDocument/2006/relationships/hyperlink" Target="https://ssl.gstatic.com/local/servicebusiness/default_user.png" TargetMode="External"/><Relationship Id="rId58" Type="http://schemas.openxmlformats.org/officeDocument/2006/relationships/hyperlink" Target="https://ssl.gstatic.com/local/servicebusiness/default_user.png" TargetMode="External"/><Relationship Id="rId153" Type="http://schemas.openxmlformats.org/officeDocument/2006/relationships/hyperlink" Target="https://www.cloudninecare.com/centre/vashi?utm_city=mumbai&amp;utm_source=gmb&amp;utm_medium=organic&amp;utm_campaign=mumbai+vashi+c9-hospital-gmb-website+c9-hospital-vashi&amp;utm_content=website-button" TargetMode="External"/><Relationship Id="rId274" Type="http://schemas.openxmlformats.org/officeDocument/2006/relationships/hyperlink" Target="https://www.google.com/maps/place/Alpha+Dental+Clinic/data=!4m7!3m6!1s0x3be7c3bd7981ef7d:0x45908abf3f22a486!8m2!3d19.0202786!4d73.0173018!16s%2Fg%2F11gcmmc1lr!19sChIJfe-Beb3D5zsRhqQiP7-KkEU?authuser=0&amp;hl=en&amp;rclk=1" TargetMode="External"/><Relationship Id="rId152" Type="http://schemas.openxmlformats.org/officeDocument/2006/relationships/hyperlink" Target="https://ssl.gstatic.com/local/servicebusiness/default_user.png" TargetMode="External"/><Relationship Id="rId273" Type="http://schemas.openxmlformats.org/officeDocument/2006/relationships/hyperlink" Target="https://www.apollohospitals.com/" TargetMode="External"/><Relationship Id="rId151" Type="http://schemas.openxmlformats.org/officeDocument/2006/relationships/hyperlink" Target="https://www.google.com/maps/place/Cloudnine+Hospital+-+Vashi+%7C+Maternity+%26+Pregnancy+Centre/data=!4m7!3m6!1s0x3be7c15eab21a345:0x7a38770bca94d1c0!8m2!3d19.0852316!4d73.007675!16s%2Fg%2F11f0_gktyv!19sChIJRaMhq17B5zsRwNGUygt3OHo?authuser=0&amp;hl=en&amp;rclk=1" TargetMode="External"/><Relationship Id="rId272" Type="http://schemas.openxmlformats.org/officeDocument/2006/relationships/hyperlink" Target="https://www.google.com/maps/place/Apollo+ProHealth+-+Navi+Mumbai/data=!4m7!3m6!1s0x3be7c3d15044d7e7:0xbdebc5b46159df7a!8m2!3d19.020968!4d73.029081!16s%2Fg%2F11ltlczckh!19sChIJ59dEUNHD5zsRet9ZYbTF670?authuser=0&amp;hl=en&amp;rclk=1" TargetMode="External"/><Relationship Id="rId158" Type="http://schemas.openxmlformats.org/officeDocument/2006/relationships/hyperlink" Target="https://www.google.com/maps/place/Dr+Karve%27s+Dentech/data=!4m7!3m6!1s0x3be7c7e6674bdb77:0x5a92f706cb9de866!8m2!3d19.118699!4d72.916476!16s%2Fg%2F11clyc21yl!19sChIJd9tLZ-bH5zsRZuidywb3klo?authuser=0&amp;hl=en&amp;rclk=1" TargetMode="External"/><Relationship Id="rId279" Type="http://schemas.openxmlformats.org/officeDocument/2006/relationships/hyperlink" Target="https://ssl.gstatic.com/local/servicebusiness/default_user.png" TargetMode="External"/><Relationship Id="rId157" Type="http://schemas.openxmlformats.org/officeDocument/2006/relationships/hyperlink" Target="https://www.google.com/aclk?sa=L&amp;ai=DChsSEwjY_q3l5-OVAxXQhWYCHQ6GN9gYACICCAEQCxoCc20&amp;co=1&amp;ase=2&amp;gclid=CjwKCAjwsfzSBhB5EiwAOGyqSa8bJmiInQcnqhYOoPHpcSABmZNKk6Nx2iOESQr5MdFW614cV373-BoCQxY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02BkDFe0onG1zHICP9IauMYOumMw&amp;adurl&amp;q&amp;ctype=99&amp;nis=6" TargetMode="External"/><Relationship Id="rId278" Type="http://schemas.openxmlformats.org/officeDocument/2006/relationships/hyperlink" Target="https://www.google.com/maps/place/Dr+Mahesh+Ghogare,+BEST+CARDIOLOGIST+in+Navi+Mumbai,+Interventional+Cardiologist+Navi+Mumbai,+TAVI+%2F+TAVR+in+Navi+Mumbai/data=!4m7!3m6!1s0x3be7c142b0000001:0x9289e16f76d9552c!8m2!3d19.0246581!4d73.0222576!16s%2Fg%2F11hbdqx50v!19sChIJAQAAsELB5zsRLFXZdm_hiZI?authuser=0&amp;hl=en&amp;rclk=1" TargetMode="External"/><Relationship Id="rId156" Type="http://schemas.openxmlformats.org/officeDocument/2006/relationships/hyperlink" Target="https://www.google.com/maps/place/ART+Fertility+Clinics/data=!4m7!3m6!1s0x3be7c9f4dd2ad901:0x69a60861fe685c28!8m2!3d19.07118!4d72.87709!16s%2Fg%2F11q8y5nz8r!19sChIJAdkq3fTJ5zsRKFxo_mEIpmk?authuser=0&amp;hl=en&amp;rclk=1" TargetMode="External"/><Relationship Id="rId277" Type="http://schemas.openxmlformats.org/officeDocument/2006/relationships/hyperlink" Target="https://www.google.com/maps/place/Shiv+Meera+Clinic/data=!4m7!3m6!1s0x3be7c115a60b1f59:0x7465c45bac4b130c!8m2!3d19.0787281!4d73.0190326!16s%2Fg%2F1pv19tryz!19sChIJWR8LphXB5zsRDBNLrFvEZXQ?authuser=0&amp;hl=en&amp;rclk=1" TargetMode="External"/><Relationship Id="rId155" Type="http://schemas.openxmlformats.org/officeDocument/2006/relationships/hyperlink" Target="https://ssl.gstatic.com/local/servicebusiness/default_user.png" TargetMode="External"/><Relationship Id="rId276" Type="http://schemas.openxmlformats.org/officeDocument/2006/relationships/hyperlink" Target="https://drnevinaabraham.getmy.clinic/" TargetMode="External"/><Relationship Id="rId107" Type="http://schemas.openxmlformats.org/officeDocument/2006/relationships/hyperlink" Target="https://www.rivoskin.com/" TargetMode="External"/><Relationship Id="rId228" Type="http://schemas.openxmlformats.org/officeDocument/2006/relationships/hyperlink" Target="https://www.google.com/maps/place/Dr+Sambhaji+Patil/data=!4m7!3m6!1s0x3be7c365162311a5:0xbde12e5eb31f42dd!8m2!3d19.0385757!4d73.0202885!16s%2Fg%2F11nfw46299!19sChIJpREjFmXD5zsR3UIfs14u4b0?authuser=0&amp;hl=en&amp;rclk=1" TargetMode="External"/><Relationship Id="rId106" Type="http://schemas.openxmlformats.org/officeDocument/2006/relationships/hyperlink" Target="https://ssl.gstatic.com/local/servicebusiness/default_user.png" TargetMode="External"/><Relationship Id="rId227" Type="http://schemas.openxmlformats.org/officeDocument/2006/relationships/hyperlink" Target="https://ssl.gstatic.com/local/servicebusiness/default_user.png" TargetMode="External"/><Relationship Id="rId105" Type="http://schemas.openxmlformats.org/officeDocument/2006/relationships/hyperlink" Target="https://www.google.com/maps/place/Rivo+Skin+Care+Clinic+-+Laser+Hair+Removal+and+Dermatologist+in+Seawoods,+Navi+Mumbai/data=!4m7!3m6!1s0x3be7c3994cdc5325:0x1a3416050ec0c003!8m2!3d19.0116659!4d73.0120266!16s%2Fg%2F11gd1_dbz9!19sChIJJVPcTJnD5zsRA8DADgUWNBo?authuser=0&amp;hl=en&amp;rclk=1" TargetMode="External"/><Relationship Id="rId226" Type="http://schemas.openxmlformats.org/officeDocument/2006/relationships/hyperlink" Target="https://www.google.com/maps/place/Shree+Sai+clinic/data=!4m7!3m6!1s0x3be7c3aa18d8b603:0x50a27698e19091df!8m2!3d19.0326911!4d73.0230043!16s%2Fg%2F11smhcgpw7!19sChIJA7bYGKrD5zsR35GQ4Zh2olA?authuser=0&amp;hl=en&amp;rclk=1" TargetMode="External"/><Relationship Id="rId104" Type="http://schemas.openxmlformats.org/officeDocument/2006/relationships/hyperlink" Target="https://ssl.gstatic.com/local/servicebusiness/default_user.png" TargetMode="External"/><Relationship Id="rId225" Type="http://schemas.openxmlformats.org/officeDocument/2006/relationships/hyperlink" Target="http://www.drsupriyaskinandhairclinic.com/" TargetMode="External"/><Relationship Id="rId109" Type="http://schemas.openxmlformats.org/officeDocument/2006/relationships/hyperlink" Target="https://ssl.gstatic.com/local/servicebusiness/default_user.png" TargetMode="External"/><Relationship Id="rId108" Type="http://schemas.openxmlformats.org/officeDocument/2006/relationships/hyperlink" Target="https://www.google.com/maps/place/Twacham+skin+clinic/data=!4m7!3m6!1s0x3be7c3261be1f0a9:0x57f040aac47d1323!8m2!3d19.0325195!4d73.0165992!16s%2Fg%2F11p0zbt431!19sChIJqfDhGybD5zsRIxN9xKpA8Fc?authuser=0&amp;hl=en&amp;rclk=1" TargetMode="External"/><Relationship Id="rId229" Type="http://schemas.openxmlformats.org/officeDocument/2006/relationships/hyperlink" Target="https://ssl.gstatic.com/local/servicebusiness/default_user.png" TargetMode="External"/><Relationship Id="rId220" Type="http://schemas.openxmlformats.org/officeDocument/2006/relationships/hyperlink" Target="https://www.google.com/maps/place/Mahavir+Maternity+and+Surgical+Hospital/data=!4m7!3m6!1s0x3be7c0d0b4206ef5:0xda6ec0849f1733af!8m2!3d19.100912!4d73.0108753!16s%2Fg%2F11b879xbw_!19sChIJ9W4gtNDA5zsRrzMXn4TAbto?authuser=0&amp;hl=en&amp;rclk=1" TargetMode="External"/><Relationship Id="rId103" Type="http://schemas.openxmlformats.org/officeDocument/2006/relationships/hyperlink" Target="https://www.google.com/maps/place/Dr.+Gajanan+Clinic/data=!4m7!3m6!1s0x3be7c2132d42033b:0x7421970f82a8164a!8m2!3d19.0343782!4d73.0720773!16s%2Fg%2F11s8zckpkh!19sChIJOwNCLRPC5zsRShaogg-XIXQ?authuser=0&amp;hl=en&amp;rclk=1" TargetMode="External"/><Relationship Id="rId224" Type="http://schemas.openxmlformats.org/officeDocument/2006/relationships/hyperlink" Target="https://ssl.gstatic.com/local/servicebusiness/default_user.png" TargetMode="External"/><Relationship Id="rId102" Type="http://schemas.openxmlformats.org/officeDocument/2006/relationships/hyperlink" Target="https://www.google.com/aclk?sa=L&amp;ai=DChsSEwjEga3j5-OVAxXGmGYCHSv4L60YACICCAEQBRoCc20&amp;co=1&amp;ase=2&amp;gclid=CjwKCAjwsfzSBhB5EiwAOGyqSTtAOGNHNSBEHIVnrWwP9gSl-fdjqI4VWBDSoXKHVxJLWLVFUHh5sRoCg9U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VK-l2VpDixYtQZeT_BunAV-iMoA&amp;adurl&amp;q&amp;ctype=99&amp;nis=6" TargetMode="External"/><Relationship Id="rId223" Type="http://schemas.openxmlformats.org/officeDocument/2006/relationships/hyperlink" Target="https://www.google.com/maps/place/Be+You+Aesthetics+Clinic-+Ayurvedic+doctor/data=!4m7!3m6!1s0x3be7c3a6d49e90cb:0x353b6db365b25829!8m2!3d19.0262789!4d73.0427916!16s%2Fg%2F11vq9n9ls0!19sChIJy5Ce1KbD5zsRKViyZbNtOzU?authuser=0&amp;hl=en&amp;rclk=1" TargetMode="External"/><Relationship Id="rId101" Type="http://schemas.openxmlformats.org/officeDocument/2006/relationships/hyperlink" Target="https://www.google.com/maps/place/ASG+Eye+Hospital+%7C+Best+Cataract,+Lasik+%26+Retina+Centre+-+Vashi,+Mumbai/data=!4m7!3m6!1s0x3be7c1f454bd3783:0x9e0b8aaab5dc8756!8m2!3d19.070291!4d72.997918!16s%2Fg%2F11k3d0lph0!19sChIJgze9VPTB5zsRVofctaqKC54?authuser=0&amp;hl=en&amp;rclk=1" TargetMode="External"/><Relationship Id="rId222" Type="http://schemas.openxmlformats.org/officeDocument/2006/relationships/hyperlink" Target="http://www.mahavirhospital.in.net/" TargetMode="External"/><Relationship Id="rId100" Type="http://schemas.openxmlformats.org/officeDocument/2006/relationships/hyperlink" Target="https://www.google.com/aclk?sa=L&amp;ai=DChsSEwjEga3j5-OVAxXGmGYCHSv4L60YACICCAEQABoCc20&amp;co=1&amp;ase=2&amp;gclid=CjwKCAjwsfzSBhB5EiwAOGyqSRqHv8zm3JQ3XITZthGBOX6tl3OqxVUzpxkmKhbFNu2bIerIQf8YMBoCjJM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AXjq4v1QR-MsYwLJX71Qe77Pj0A&amp;adurl&amp;q&amp;ctype=99&amp;nis=6" TargetMode="External"/><Relationship Id="rId221" Type="http://schemas.openxmlformats.org/officeDocument/2006/relationships/hyperlink" Target="https://ssl.gstatic.com/local/servicebusiness/default_user.png" TargetMode="External"/><Relationship Id="rId217" Type="http://schemas.openxmlformats.org/officeDocument/2006/relationships/hyperlink" Target="https://www.google.com/maps/place/Dr.+Sandeep+Rai,/data=!4m7!3m6!1s0x3be7c3b76561a75f:0x780d31030d58d861!8m2!3d19.0231511!4d73.0314235!16s%2Fg%2F11j0v0lpr9!19sChIJX6dhZbfD5zsRYdhYDQMxDXg?authuser=0&amp;hl=en&amp;rclk=1" TargetMode="External"/><Relationship Id="rId216" Type="http://schemas.openxmlformats.org/officeDocument/2006/relationships/hyperlink" Target="https://ssl.gstatic.com/local/servicebusiness/default_user.png" TargetMode="External"/><Relationship Id="rId215" Type="http://schemas.openxmlformats.org/officeDocument/2006/relationships/hyperlink" Target="https://www.google.com/maps/place/Dr+Swetha+Shetty-+Siddhant+Clinic/data=!4m7!3m6!1s0x3be7c38d78f769df:0x38210c944e9febd3!8m2!3d19.0302055!4d73.0254726!16s%2Fg%2F11xvbdq04d!19sChIJ32n3eI3D5zsR0-ufTpQMITg?authuser=0&amp;hl=en&amp;rclk=1" TargetMode="External"/><Relationship Id="rId214" Type="http://schemas.openxmlformats.org/officeDocument/2006/relationships/hyperlink" Target="https://ssl.gstatic.com/local/servicebusiness/default_user.png" TargetMode="External"/><Relationship Id="rId219" Type="http://schemas.openxmlformats.org/officeDocument/2006/relationships/hyperlink" Target="https://www.drsandeeprai.com/" TargetMode="External"/><Relationship Id="rId218" Type="http://schemas.openxmlformats.org/officeDocument/2006/relationships/hyperlink" Target="https://ssl.gstatic.com/local/servicebusiness/default_user.png" TargetMode="External"/><Relationship Id="rId213" Type="http://schemas.openxmlformats.org/officeDocument/2006/relationships/hyperlink" Target="https://www.google.com/maps/place/Dermed+Clinic/data=!4m7!3m6!1s0x3be7c397bee9aa87:0xed9c3ab75bb93e8c!8m2!3d19.0182874!4d73.0123738!16s%2Fg%2F11c5zxh3vr!19sChIJh6rpvpfD5zsRjD65W7c6nO0?authuser=0&amp;hl=en&amp;rclk=1" TargetMode="External"/><Relationship Id="rId212" Type="http://schemas.openxmlformats.org/officeDocument/2006/relationships/hyperlink" Target="https://drrajaeyecare.com/" TargetMode="External"/><Relationship Id="rId211" Type="http://schemas.openxmlformats.org/officeDocument/2006/relationships/hyperlink" Target="https://ssl.gstatic.com/local/servicebusiness/default_user.png" TargetMode="External"/><Relationship Id="rId210" Type="http://schemas.openxmlformats.org/officeDocument/2006/relationships/hyperlink" Target="https://www.google.com/maps/place/Dr+Raja/data=!4m7!3m6!1s0x3be7c717d4113341:0x5a2dbcad616792fc!8m2!3d19.0365259!4d73.017463!16s%2Fg%2F11fkhdl2g6!19sChIJQTMR1BfH5zsR_JJnYa28LVo?authuser=0&amp;hl=en&amp;rclk=1" TargetMode="External"/><Relationship Id="rId129" Type="http://schemas.openxmlformats.org/officeDocument/2006/relationships/hyperlink" Target="https://www.drsbansal.com/" TargetMode="External"/><Relationship Id="rId128" Type="http://schemas.openxmlformats.org/officeDocument/2006/relationships/hyperlink" Target="https://ssl.gstatic.com/local/servicebusiness/default_user.png" TargetMode="External"/><Relationship Id="rId249" Type="http://schemas.openxmlformats.org/officeDocument/2006/relationships/hyperlink" Target="https://www.google.com/maps/place/Yara+ACUPUNCTURIST/data=!4m7!3m6!1s0x3be7c3658d36f021:0x6fea3f2b0326cbc0!8m2!3d19.0284498!4d73.0183038!16s%2Fg%2F11lgdw8g59!19sChIJIfA2jWXD5zsRwMsmAys_6m8?authuser=0&amp;hl=en&amp;rclk=1" TargetMode="External"/><Relationship Id="rId127" Type="http://schemas.openxmlformats.org/officeDocument/2006/relationships/hyperlink" Target="https://www.google.com/maps/place/Dr.+Sonal+Bansal-+Orthopedic+Doctor+-+Nerul+Navi+Mumbai/data=!4m7!3m6!1s0x3be7c3c3ffffff97:0xd82ee1a7e3b2579!8m2!3d19.0274177!4d73.023155!16s%2Fg%2F11cmcyw79m!19sChIJl____8PD5zsReSU7fhrugg0?authuser=0&amp;hl=en&amp;rclk=1" TargetMode="External"/><Relationship Id="rId248" Type="http://schemas.openxmlformats.org/officeDocument/2006/relationships/hyperlink" Target="http://aguramrit.org/" TargetMode="External"/><Relationship Id="rId126" Type="http://schemas.openxmlformats.org/officeDocument/2006/relationships/hyperlink" Target="https://ssl.gstatic.com/local/servicebusiness/default_user.png" TargetMode="External"/><Relationship Id="rId247" Type="http://schemas.openxmlformats.org/officeDocument/2006/relationships/hyperlink" Target="https://ssl.gstatic.com/local/servicebusiness/default_user.png" TargetMode="External"/><Relationship Id="rId121" Type="http://schemas.openxmlformats.org/officeDocument/2006/relationships/hyperlink" Target="https://onehealthclinicmumbai.com/" TargetMode="External"/><Relationship Id="rId242" Type="http://schemas.openxmlformats.org/officeDocument/2006/relationships/hyperlink" Target="https://www.google.com/maps/place/Anand+Clinic/data=!4m7!3m6!1s0x3be7c3c303802b3d:0x286a0ce386758130!8m2!3d19.038677!4d73.0197082!16s%2Fg%2F11bw4jpygq!19sChIJPSuAA8PD5zsRMIF1huMMaig?authuser=0&amp;hl=en&amp;rclk=1" TargetMode="External"/><Relationship Id="rId120" Type="http://schemas.openxmlformats.org/officeDocument/2006/relationships/hyperlink" Target="https://ssl.gstatic.com/local/servicebusiness/default_user.png" TargetMode="External"/><Relationship Id="rId241" Type="http://schemas.openxmlformats.org/officeDocument/2006/relationships/hyperlink" Target="https://ssl.gstatic.com/local/servicebusiness/default_user.png" TargetMode="External"/><Relationship Id="rId240" Type="http://schemas.openxmlformats.org/officeDocument/2006/relationships/hyperlink" Target="https://www.google.com/maps/place/Dr+Rajendra+Patil.Clinic./data=!4m7!3m6!1s0x3be7c391b825dab5:0x7c8e84734ab868ca!8m2!3d19.037853!4d73.01539!16s%2Fg%2F11t5jdl1sh!19sChIJtdoluJHD5zsRymi4SnOEjnw?authuser=0&amp;hl=en&amp;rclk=1" TargetMode="External"/><Relationship Id="rId125" Type="http://schemas.openxmlformats.org/officeDocument/2006/relationships/hyperlink" Target="https://www.google.com/maps/place/Dr.Shende+Homoeopathic+Clinic/data=!4m7!3m6!1s0x3be7c3c232d64ab7:0x984a5ae1573b328a!8m2!3d19.0364007!4d73.0200049!16s%2Fg%2F11cmdfj53y!19sChIJt0rWMsLD5zsRijI7V-FaSpg?authuser=0&amp;hl=en&amp;rclk=1" TargetMode="External"/><Relationship Id="rId246" Type="http://schemas.openxmlformats.org/officeDocument/2006/relationships/hyperlink" Target="https://www.google.com/maps/place/Ayuramrit+Ayurved+Clinic/data=!4m7!3m6!1s0x3be7c219996deae3:0xbb9a097635c277e4!8m2!3d19.048221!4d73.0689048!16s%2Fg%2F11c0xvb29b!19sChIJ4-ptmRnC5zsR5HfCNXYJmrs?authuser=0&amp;hl=en&amp;rclk=1" TargetMode="External"/><Relationship Id="rId124" Type="http://schemas.openxmlformats.org/officeDocument/2006/relationships/hyperlink" Target="https://www.drrahulorthocare.com/" TargetMode="External"/><Relationship Id="rId245" Type="http://schemas.openxmlformats.org/officeDocument/2006/relationships/hyperlink" Target="https://arogyabhet.com/" TargetMode="External"/><Relationship Id="rId123" Type="http://schemas.openxmlformats.org/officeDocument/2006/relationships/hyperlink" Target="https://ssl.gstatic.com/local/servicebusiness/default_user.png" TargetMode="External"/><Relationship Id="rId244" Type="http://schemas.openxmlformats.org/officeDocument/2006/relationships/hyperlink" Target="https://ssl.gstatic.com/local/servicebusiness/default_user.png" TargetMode="External"/><Relationship Id="rId122" Type="http://schemas.openxmlformats.org/officeDocument/2006/relationships/hyperlink" Target="https://www.google.com/maps/place/Dr.Rahul+Jagtap+%7C+Orthopedic+Surgeon+in+Navi+Mumbai+%7C+Platinum+Ortho+Clinic/data=!4m7!3m6!1s0x3be7c3c0a358b65f:0x47129d144b2b87e7!8m2!3d19.0297274!4d73.0254862!16s%2Fg%2F11mlfzq0tt!19sChIJX7ZYo8DD5zsR54crSxSdEkc?authuser=0&amp;hl=en&amp;rclk=1" TargetMode="External"/><Relationship Id="rId243" Type="http://schemas.openxmlformats.org/officeDocument/2006/relationships/hyperlink" Target="https://www.google.com/maps/place/Dr+Nagarekar+Atharva+Ayurveda+clinic/data=!4m7!3m6!1s0x3be7c34e2ebae60b:0xf2affcd51305bbe6!8m2!3d19.0403047!4d73.0152992!16s%2Fg%2F11h08dmsz8!19sChIJC-a6Lk7D5zsR5rsFE9X8r_I?authuser=0&amp;hl=en&amp;rclk=1" TargetMode="External"/><Relationship Id="rId95" Type="http://schemas.openxmlformats.org/officeDocument/2006/relationships/hyperlink" Target="https://www.google.com/maps/place/Arihant+Clinic/data=!4m7!3m6!1s0x3be7c3bf00b5c935:0x32e3708e152d2cd1!8m2!3d19.0269386!4d73.0201229!16s%2Fg%2F113gbxqjy!19sChIJNcm1AL_D5zsR0SwtFY5w4zI?authuser=0&amp;hl=en&amp;rclk=1" TargetMode="External"/><Relationship Id="rId94" Type="http://schemas.openxmlformats.org/officeDocument/2006/relationships/hyperlink" Target="https://www.drshraddhapatil.com/" TargetMode="External"/><Relationship Id="rId97" Type="http://schemas.openxmlformats.org/officeDocument/2006/relationships/hyperlink" Target="https://ssl.gstatic.com/local/servicebusiness/default_user.png" TargetMode="External"/><Relationship Id="rId96" Type="http://schemas.openxmlformats.org/officeDocument/2006/relationships/hyperlink" Target="https://www.google.com/maps/place/Hridaya+Navjeevanlaya+Clinic+%7C+Dr+Bhasker+Semitha+%7C+CVTS+Surgeon+%7CNerul+East,+Navi+Mumbai/data=!4m7!3m6!1s0x3be7c3fe31da7e97:0xbdfafc351fa089d4!8m2!3d19.0378034!4d73.0189377!16s%2Fg%2F11js9tf2pb!19sChIJl37aMf7D5zsR1ImgHzX8-r0?authuser=0&amp;hl=en&amp;rclk=1" TargetMode="External"/><Relationship Id="rId99" Type="http://schemas.openxmlformats.org/officeDocument/2006/relationships/hyperlink" Target="https://www.google.com/maps/place/ART+Fertility+Clinics/data=!4m7!3m6!1s0x3be7c9f4dd2ad901:0x69a60861fe685c28!8m2!3d19.07118!4d72.87709!16s%2Fg%2F11q8y5nz8r!19sChIJAdkq3fTJ5zsRKFxo_mEIpmk?authuser=0&amp;hl=en&amp;rclk=1" TargetMode="External"/><Relationship Id="rId98" Type="http://schemas.openxmlformats.org/officeDocument/2006/relationships/hyperlink" Target="https://hridayanavjeevanalaya.com/" TargetMode="External"/><Relationship Id="rId91" Type="http://schemas.openxmlformats.org/officeDocument/2006/relationships/hyperlink" Target="https://www.drgarjeayurved.com/" TargetMode="External"/><Relationship Id="rId90" Type="http://schemas.openxmlformats.org/officeDocument/2006/relationships/hyperlink" Target="https://ssl.gstatic.com/local/servicebusiness/default_user.png" TargetMode="External"/><Relationship Id="rId93" Type="http://schemas.openxmlformats.org/officeDocument/2006/relationships/hyperlink" Target="https://ssl.gstatic.com/local/servicebusiness/default_user.png" TargetMode="External"/><Relationship Id="rId92" Type="http://schemas.openxmlformats.org/officeDocument/2006/relationships/hyperlink" Target="https://www.google.com/maps/place/Dr.+Shraddha+Patil+-+PHYSIOTHERAPY+CLINIC+in+Belapur,+Navi+Mumbai,+Best+Physiotherapist+in+Seawoods,+Nerul,+Navi+Mumbai/data=!4m7!3m6!1s0x3be7c326a9de510f:0xaaa49ab28cdc4da8!8m2!3d19.0302065!4d73.0429263!16s%2Fg%2F11rv8051gh!19sChIJD1HeqSbD5zsRqE3cjLKapKo?authuser=0&amp;hl=en&amp;rclk=1" TargetMode="External"/><Relationship Id="rId118" Type="http://schemas.openxmlformats.org/officeDocument/2006/relationships/hyperlink" Target="https://www.drjanugades.com/" TargetMode="External"/><Relationship Id="rId239" Type="http://schemas.openxmlformats.org/officeDocument/2006/relationships/hyperlink" Target="https://www.drjairajshospital.com/" TargetMode="External"/><Relationship Id="rId117" Type="http://schemas.openxmlformats.org/officeDocument/2006/relationships/hyperlink" Target="https://ssl.gstatic.com/local/servicebusiness/default_user.png" TargetMode="External"/><Relationship Id="rId238" Type="http://schemas.openxmlformats.org/officeDocument/2006/relationships/hyperlink" Target="https://ssl.gstatic.com/local/servicebusiness/default_user.png" TargetMode="External"/><Relationship Id="rId116" Type="http://schemas.openxmlformats.org/officeDocument/2006/relationships/hyperlink" Target="https://www.google.com/maps/place/Dr.+Janugade%E2%80%99s+Ayurveda/data=!4m7!3m6!1s0x3be7c12f3ddcfffb:0x5a4c2617fe33ba6a!8m2!3d19.0907804!4d73.0051462!16s%2Fg%2F1tgdm0j9!19sChIJ-__cPS_B5zsRaroz_hcmTFo?authuser=0&amp;hl=en&amp;rclk=1" TargetMode="External"/><Relationship Id="rId237" Type="http://schemas.openxmlformats.org/officeDocument/2006/relationships/hyperlink" Target="https://www.google.com/maps/place/Dr+Jairajs+Hospital/data=!4m7!3m6!1s0x3be7c3ad73247343:0x7957b177cdfbb2a9!8m2!3d19.0252216!4d73.041946!16s%2Fg%2F1tg_dh_c!19sChIJQ3Mkc63D5zsRqbL7zXexV3k?authuser=0&amp;hl=en&amp;rclk=1" TargetMode="External"/><Relationship Id="rId115" Type="http://schemas.openxmlformats.org/officeDocument/2006/relationships/hyperlink" Target="https://newskinelixir.com/" TargetMode="External"/><Relationship Id="rId236" Type="http://schemas.openxmlformats.org/officeDocument/2006/relationships/hyperlink" Target="http://dentalpulseclinic.com/" TargetMode="External"/><Relationship Id="rId119" Type="http://schemas.openxmlformats.org/officeDocument/2006/relationships/hyperlink" Target="https://www.google.com/maps/place/Dr+Madhav+Dawkore+%E2%80%93+Pulmonologist+%26+Allergy+Specialist+Navi+mumbai/data=!4m7!3m6!1s0x3be7c38546bb6453:0x67973f0a6aee839d!8m2!3d19.0505159!4d73.0161525!16s%2Fg%2F11t2t_f_pd!19sChIJU2S7RoXD5zsRnYPuago_l2c?authuser=0&amp;hl=en&amp;rclk=1" TargetMode="External"/><Relationship Id="rId110" Type="http://schemas.openxmlformats.org/officeDocument/2006/relationships/hyperlink" Target="https://www.google.com/maps/place/Dr.+Neetu/data=!4m7!3m6!1s0x3be7c135f8a410e1:0xbefef6095a5f19be!8m2!3d19.0725692!4d72.9982326!16s%2Fg%2F11c31vp84v!19sChIJ4RCk-DXB5zsRvhlfWgn2_r4?authuser=0&amp;hl=en&amp;rclk=1" TargetMode="External"/><Relationship Id="rId231" Type="http://schemas.openxmlformats.org/officeDocument/2006/relationships/hyperlink" Target="https://www.google.com/maps/place/MGM+New+Bombay+Hospital,+Vashi/data=!4m7!3m6!1s0x3be7c6caa94cef59:0xd2977d80d17491e8!8m2!3d19.072693!4d72.9936479!16s%2Fg%2F1tgy_19j!19sChIJWe9MqcrG5zsR6JF00YB9l9I?authuser=0&amp;hl=en&amp;rclk=1" TargetMode="External"/><Relationship Id="rId230" Type="http://schemas.openxmlformats.org/officeDocument/2006/relationships/hyperlink" Target="https://drsambhajipatil.com/" TargetMode="External"/><Relationship Id="rId114" Type="http://schemas.openxmlformats.org/officeDocument/2006/relationships/hyperlink" Target="https://ssl.gstatic.com/local/servicebusiness/default_user.png" TargetMode="External"/><Relationship Id="rId235" Type="http://schemas.openxmlformats.org/officeDocument/2006/relationships/hyperlink" Target="https://ssl.gstatic.com/local/servicebusiness/default_user.png" TargetMode="External"/><Relationship Id="rId113" Type="http://schemas.openxmlformats.org/officeDocument/2006/relationships/hyperlink" Target="https://www.google.com/maps/place/New+skin+elixir+Skin+Clinic+In+Seawoods+Navi+Mumbai/data=!4m7!3m6!1s0x3be7c351bf1d0ca7:0xdab05449f4b8d65c!8m2!3d19.0125213!4d73.0229314!16s%2Fg%2F11tjlrz3yp!19sChIJpwwdv1HD5zsRXNa49ElUsNo?authuser=0&amp;hl=en&amp;rclk=1" TargetMode="External"/><Relationship Id="rId234" Type="http://schemas.openxmlformats.org/officeDocument/2006/relationships/hyperlink" Target="https://www.google.com/maps/place/Dental+Pulse+Clinic/data=!4m7!3m6!1s0x3be7c3c0e2af0db3:0x5ae99b51c2d5444!8m2!3d19.0309791!4d73.0217513!16s%2Fg%2F11df80zt_8!19sChIJsw2v4sDD5zsRRFQtHLWZrgU?authuser=0&amp;hl=en&amp;rclk=1" TargetMode="External"/><Relationship Id="rId112" Type="http://schemas.openxmlformats.org/officeDocument/2006/relationships/hyperlink" Target="https://skinhance.co.in/" TargetMode="External"/><Relationship Id="rId233" Type="http://schemas.openxmlformats.org/officeDocument/2006/relationships/hyperlink" Target="http://www.mgmhospitalvashi.net/" TargetMode="External"/><Relationship Id="rId111" Type="http://schemas.openxmlformats.org/officeDocument/2006/relationships/hyperlink" Target="https://ssl.gstatic.com/local/servicebusiness/default_user.png" TargetMode="External"/><Relationship Id="rId232" Type="http://schemas.openxmlformats.org/officeDocument/2006/relationships/hyperlink" Target="https://ssl.gstatic.com/local/servicebusiness/default_user.png" TargetMode="External"/><Relationship Id="rId206" Type="http://schemas.openxmlformats.org/officeDocument/2006/relationships/hyperlink" Target="https://ssl.gstatic.com/local/servicebusiness/default_user.png" TargetMode="External"/><Relationship Id="rId205" Type="http://schemas.openxmlformats.org/officeDocument/2006/relationships/hyperlink" Target="https://www.google.com/maps/place/Sabka+dentist/data=!4m7!3m6!1s0x3be7c3b8d37805c7:0x6e90345cc2fba1c6!8m2!3d19.0246836!4d73.0216118!16s%2Fg%2F1q675glcp!19sChIJxwV407jD5zsRxqH7wlw0kG4?authuser=0&amp;hl=en&amp;rclk=1" TargetMode="External"/><Relationship Id="rId204" Type="http://schemas.openxmlformats.org/officeDocument/2006/relationships/hyperlink" Target="https://ssl.gstatic.com/local/servicebusiness/default_user.png" TargetMode="External"/><Relationship Id="rId203" Type="http://schemas.openxmlformats.org/officeDocument/2006/relationships/hyperlink" Target="https://www.google.com/maps/place/Dr+Sangram+Karandikar/data=!4m7!3m6!1s0x3be7c3bf00bcf087:0x94fd9b290aa28882!8m2!3d19.0269818!4d73.0199724!16s%2Fg%2F113hgr1v1!19sChIJh_C8AL_D5zsRgoiiCimb_ZQ?authuser=0&amp;hl=en&amp;rclk=1" TargetMode="External"/><Relationship Id="rId209" Type="http://schemas.openxmlformats.org/officeDocument/2006/relationships/hyperlink" Target="https://ssl.gstatic.com/local/servicebusiness/default_user.png" TargetMode="External"/><Relationship Id="rId208" Type="http://schemas.openxmlformats.org/officeDocument/2006/relationships/hyperlink" Target="https://www.google.com/maps/place/Dr.+Vaidehi+Kulkarni/data=!4m7!3m6!1s0x3be7c3aad330f82d:0xe317bc62a35333a4!8m2!3d19.025588!4d73.0177972!16s%2Fg%2F11q96lk3n8!19sChIJLfgw06rD5zsRpDNTo2K8F-M?authuser=0&amp;hl=en&amp;rclk=1" TargetMode="External"/><Relationship Id="rId207" Type="http://schemas.openxmlformats.org/officeDocument/2006/relationships/hyperlink" Target="https://www.sabkadentist.com/dental-clinics-in-navi-mumbai/nerul-east/" TargetMode="External"/><Relationship Id="rId202" Type="http://schemas.openxmlformats.org/officeDocument/2006/relationships/hyperlink" Target="https://ssl.gstatic.com/local/servicebusiness/default_user.png" TargetMode="External"/><Relationship Id="rId201" Type="http://schemas.openxmlformats.org/officeDocument/2006/relationships/hyperlink" Target="https://www.google.com/maps/place/MUKTA+HOMOEOPATHY+CLINIC/data=!4m7!3m6!1s0x3be7c3f9b096f1f3:0xbb597a59052a85e6!8m2!3d19.0375523!4d73.019036!16s%2Fg%2F11gj4l5s7_!19sChIJ8_GWsPnD5zsR5oUqBVl6Wbs?authuser=0&amp;hl=en&amp;rclk=1" TargetMode="External"/><Relationship Id="rId200" Type="http://schemas.openxmlformats.org/officeDocument/2006/relationships/hyperlink" Target="https://suranahospital.in/location/navi-mumbai/mpct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Centre+For+Sight+%7C+Nerul+%7C+Navi+Mumbai/data=!4m7!3m6!1s0x3be7c3c6b1555555:0x7a370656617c2e06!8m2!3d19.0238561!4d73.021885!16s%2Fg%2F1ptwt1mns!19sChIJVVVVscbD5zsRBi58YVYGN3o?authuser=0&amp;hl=en&amp;rclk=1" TargetMode="External"/><Relationship Id="rId190" Type="http://schemas.openxmlformats.org/officeDocument/2006/relationships/hyperlink" Target="https://www.google.com/maps/place/New+skin+elixir+Skin+Clinic+In+Seawoods+Navi+Mumbai/data=!4m7!3m6!1s0x3be7c351bf1d0ca7:0xdab05449f4b8d65c!8m2!3d19.0125213!4d73.0229314!16s%2Fg%2F11tjlrz3yp!19sChIJpwwdv1HD5zsRXNa49ElUsNo?authuser=0&amp;hl=en&amp;rclk=1" TargetMode="External"/><Relationship Id="rId42" Type="http://schemas.openxmlformats.org/officeDocument/2006/relationships/hyperlink" Target="https://www.instagram.com/cloudninecare" TargetMode="External"/><Relationship Id="rId41" Type="http://schemas.openxmlformats.org/officeDocument/2006/relationships/hyperlink" Target="https://www.cloudninecare.com/centre/vashi?utm_city=mumbai&amp;utm_source=gmb&amp;utm_medium=organic&amp;utm_campaign=mumbai+vashi+c9-hospital-gmb-website+c9-hospital-vashi&amp;utm_content=website-button" TargetMode="External"/><Relationship Id="rId44" Type="http://schemas.openxmlformats.org/officeDocument/2006/relationships/hyperlink" Target="https://clovedental.in/dentist-near-me/navi-mumbai/sector-8nerulnavi-mumbai?utm_source=website&amp;utm_medium=gmb&amp;utm_campaign=Sector_8_Nerul_Navi_Mumbai_GMB" TargetMode="External"/><Relationship Id="rId194" Type="http://schemas.openxmlformats.org/officeDocument/2006/relationships/hyperlink" Target="http://www.omphysiotherapy.com/" TargetMode="External"/><Relationship Id="rId43" Type="http://schemas.openxmlformats.org/officeDocument/2006/relationships/hyperlink" Target="https://www.google.com/maps/place/Cloudnine+Hospital+-+Vashi+%7C+Maternity+%26+Pregnancy+Centre/data=!4m7!3m6!1s0x3be7c15eab21a345:0x7a38770bca94d1c0!8m2!3d19.0852316!4d73.007675!16s%2Fg%2F11f0_gktyv!19sChIJRaMhq17B5zsRwNGUygt3OHo?authuser=0&amp;hl=en&amp;rclk=1" TargetMode="External"/><Relationship Id="rId193" Type="http://schemas.openxmlformats.org/officeDocument/2006/relationships/hyperlink" Target="https://www.google.com/maps/place/Om+Clinic/data=!4m7!3m6!1s0x3be7c1316a7f9e77:0xcab164d190041735!8m2!3d19.080912!4d73.0004416!16s%2Fg%2F11tx_y_c22!19sChIJd55_ajHB5zsRNRcEkNFksco?authuser=0&amp;hl=en&amp;rclk=1" TargetMode="External"/><Relationship Id="rId46" Type="http://schemas.openxmlformats.org/officeDocument/2006/relationships/hyperlink" Target="https://www.google.com/maps/place/Clove+Dental+Clinic+-+Nerul+Sector+8,+Navi+Mumbai/data=!4m7!3m6!1s0x3be7c38379107e29:0xa53fc15c83c872c2!8m2!3d19.040947!4d73.0148091!16s%2Fg%2F11y7tg53v2!19sChIJKX4QeYPD5zsRwnLIg1zBP6U?authuser=0&amp;hl=en&amp;rclk=1" TargetMode="External"/><Relationship Id="rId192" Type="http://schemas.openxmlformats.org/officeDocument/2006/relationships/hyperlink" Target="https://www.google.com/maps/place/Nitai+children%27s+Clinic/data=!4m7!3m6!1s0x3be7c3a3064edaff:0x573a3fef53967679!8m2!3d19.030229!4d73.0225636!16s%2Fg%2F11g0s844bj!19sChIJ_9pOBqPD5zsReXaWU-8_Olc?authuser=0&amp;hl=en&amp;rclk=1" TargetMode="External"/><Relationship Id="rId45" Type="http://schemas.openxmlformats.org/officeDocument/2006/relationships/hyperlink" Target="https://www.instagram.com/clovedentalindia" TargetMode="External"/><Relationship Id="rId191" Type="http://schemas.openxmlformats.org/officeDocument/2006/relationships/hyperlink" Target="https://dromprakashj.getmy.clinic/" TargetMode="External"/><Relationship Id="rId48" Type="http://schemas.openxmlformats.org/officeDocument/2006/relationships/hyperlink" Target="https://www.instagram.com/kbcclinics" TargetMode="External"/><Relationship Id="rId187" Type="http://schemas.openxmlformats.org/officeDocument/2006/relationships/hyperlink" Target="https://www.google.com/maps/place/Nerul+Piles+Center/data=!4m7!3m6!1s0x3be7c3decb7b40fd:0xe36345355c40d88c!8m2!3d19.0441297!4d73.022612!16s%2Fg%2F11c3pwz5kd!19sChIJ_UB7y97D5zsRjNhAXDVFY-M?authuser=0&amp;hl=en&amp;rclk=1" TargetMode="External"/><Relationship Id="rId47" Type="http://schemas.openxmlformats.org/officeDocument/2006/relationships/hyperlink" Target="http://www.kbcclinics.com/" TargetMode="External"/><Relationship Id="rId186" Type="http://schemas.openxmlformats.org/officeDocument/2006/relationships/hyperlink" Target="https://nerulpilescenter.com/" TargetMode="External"/><Relationship Id="rId185" Type="http://schemas.openxmlformats.org/officeDocument/2006/relationships/hyperlink" Target="https://www.google.com/maps/place/MUKTA+HOMOEOPATHY+CLINIC/data=!4m7!3m6!1s0x3be7c3f9b096f1f3:0xbb597a59052a85e6!8m2!3d19.0375523!4d73.019036!16s%2Fg%2F11gj4l5s7_!19sChIJ8_GWsPnD5zsR5oUqBVl6Wbs?authuser=0&amp;hl=en&amp;rclk=1" TargetMode="External"/><Relationship Id="rId49" Type="http://schemas.openxmlformats.org/officeDocument/2006/relationships/hyperlink" Target="https://www.google.com/maps/place/Cosmetic+%26+Hair+Transplant+Clinic/data=!4m7!3m6!1s0x3be7c91028e4cc13:0x228f3ccb6c59d7d7!8m2!3d19.0246875!4d73.0221875!16s%2Fg%2F11bzwrt9t_!19sChIJE8zkKBDJ5zsR19dZbMs8jyI?authuser=0&amp;hl=en&amp;rclk=1" TargetMode="External"/><Relationship Id="rId184" Type="http://schemas.openxmlformats.org/officeDocument/2006/relationships/hyperlink" Target="https://www.google.com/maps/place/MPCT+Hospital/data=!4m7!3m6!1s0x3be7c15cb5740b23:0xe449834910676dda!8m2!3d19.0630462!4d73.0125691!16s%2Fg%2F11c0xnyl1q!19sChIJIwt0tVzB5zsR2m1nEEmDSeQ?authuser=0&amp;hl=en&amp;rclk=1" TargetMode="External"/><Relationship Id="rId189" Type="http://schemas.openxmlformats.org/officeDocument/2006/relationships/hyperlink" Target="https://www.instagram.com/newskinelixir" TargetMode="External"/><Relationship Id="rId188" Type="http://schemas.openxmlformats.org/officeDocument/2006/relationships/hyperlink" Target="https://newskinelixir.com/" TargetMode="External"/><Relationship Id="rId31" Type="http://schemas.openxmlformats.org/officeDocument/2006/relationships/hyperlink" Target="https://www.instagram.com/ayushakti" TargetMode="External"/><Relationship Id="rId30" Type="http://schemas.openxmlformats.org/officeDocument/2006/relationships/hyperlink" Target="https://www.ayushakti.com/" TargetMode="External"/><Relationship Id="rId33" Type="http://schemas.openxmlformats.org/officeDocument/2006/relationships/hyperlink" Target="https://www.bcaclinicindia.com/" TargetMode="External"/><Relationship Id="rId183" Type="http://schemas.openxmlformats.org/officeDocument/2006/relationships/hyperlink" Target="https://suranahospital.in/location/navi-mumbai/mpct" TargetMode="External"/><Relationship Id="rId32" Type="http://schemas.openxmlformats.org/officeDocument/2006/relationships/hyperlink" Target="https://www.google.com/maps/place/Ayushakti+Ayurved+Health+Centre+%7C+Panchakarma+Clinic+in+Navi+Mumbai/data=!4m7!3m6!1s0x3be7c3ab786a6a1f:0x4294e10b00f08572!8m2!3d19.0367236!4d73.0643284!16s%2Fg%2F11g_v6hfzy!19sChIJH2pqeKvD5zsRcoXwAAvhlEI?authuser=0&amp;hl=en&amp;rclk=1" TargetMode="External"/><Relationship Id="rId182" Type="http://schemas.openxmlformats.org/officeDocument/2006/relationships/hyperlink" Target="https://www.google.com/maps/place/Motherhood+Hospital/data=!4m7!3m6!1s0x3be7c3a93f6092e5:0x73fab948d50aaf4c!8m2!3d19.0357324!4d73.0632202!16s%2Fg%2F11f6ktmrz6!19sChIJ5ZJgP6nD5zsRTK8K1Ui5-nM?authuser=0&amp;hl=en&amp;rclk=1" TargetMode="External"/><Relationship Id="rId35" Type="http://schemas.openxmlformats.org/officeDocument/2006/relationships/hyperlink" Target="https://www.google.com/maps/place/BCA+CLINIC+NAVI+MUMBAI+by+Deepali+Banerjee/data=!4m7!3m6!1s0x3be7c1f3065cab8d:0x6bfadc5f2fe74d8b!8m2!3d19.053278!4d73.0070932!16s%2Fg%2F11zjvpwdcc!19sChIJjatcBvPB5zsRi03nL1_c-ms?authuser=0&amp;hl=en&amp;rclk=1" TargetMode="External"/><Relationship Id="rId181" Type="http://schemas.openxmlformats.org/officeDocument/2006/relationships/hyperlink" Target="https://www.instagram.com/motherhoodhospital" TargetMode="External"/><Relationship Id="rId34" Type="http://schemas.openxmlformats.org/officeDocument/2006/relationships/hyperlink" Target="https://www.instagram.com/bcaclinicindia" TargetMode="External"/><Relationship Id="rId180" Type="http://schemas.openxmlformats.org/officeDocument/2006/relationships/hyperlink" Target="https://www.motherhoodindia.com/locations/mumbai/?utm_source=mhi&amp;utm_medium=gmb&amp;utm_campaign=mumbai" TargetMode="External"/><Relationship Id="rId37" Type="http://schemas.openxmlformats.org/officeDocument/2006/relationships/hyperlink" Target="https://www.google.com/maps/place/Be+You+Aesthetics+Clinic-+Ayurvedic+doctor/data=!4m7!3m6!1s0x3be7c3a6d49e90cb:0x353b6db365b25829!8m2!3d19.0262789!4d73.0427916!16s%2Fg%2F11vq9n9ls0!19sChIJy5Ce1KbD5zsRKViyZbNtOzU?authuser=0&amp;hl=en&amp;rclk=1" TargetMode="External"/><Relationship Id="rId176" Type="http://schemas.openxmlformats.org/officeDocument/2006/relationships/hyperlink" Target="http://www.mahavirhospital.in.net/" TargetMode="External"/><Relationship Id="rId36" Type="http://schemas.openxmlformats.org/officeDocument/2006/relationships/hyperlink" Target="http://www.drsupriyaskinandhairclinic.com/" TargetMode="External"/><Relationship Id="rId175" Type="http://schemas.openxmlformats.org/officeDocument/2006/relationships/hyperlink" Target="https://www.google.com/maps/place/Lions+Hospital/data=!4m7!3m6!1s0x3be7c0d766c60807:0xdadd8c3a5ffb464a!8m2!3d19.1005881!4d73.0047438!16s%2Fg%2F1tf7qlnq!19sChIJBwjGZtfA5zsRSkb7XzqM3do?authuser=0&amp;hl=en&amp;rclk=1" TargetMode="External"/><Relationship Id="rId39" Type="http://schemas.openxmlformats.org/officeDocument/2006/relationships/hyperlink" Target="https://www.instagram.com/centreforsightindia" TargetMode="External"/><Relationship Id="rId174" Type="http://schemas.openxmlformats.org/officeDocument/2006/relationships/hyperlink" Target="http://lionshospital.co.in/" TargetMode="External"/><Relationship Id="rId38" Type="http://schemas.openxmlformats.org/officeDocument/2006/relationships/hyperlink" Target="https://www.centreforsight.net/eye-hospitals-in-india/mumbai/navi-mumbai?utm_source=GMB&amp;utm_medium=Local+Pack&amp;utm_campaign=GMB_Navi_Mumbai_Mumbai" TargetMode="External"/><Relationship Id="rId173" Type="http://schemas.openxmlformats.org/officeDocument/2006/relationships/hyperlink" Target="https://www.google.com/maps/place/Kokilaben+Dhirubhai+Ambani+Hospital/data=!4m7!3m6!1s0x3be7c0de93e7897b:0x8b1917237744e89b!8m2!3d19.1029024!4d73.012937!16s%2Fg%2F11f4l9rq3d!19sChIJe4nnk97A5zsRm-hEdyMXGYs?authuser=0&amp;hl=en&amp;rclk=1" TargetMode="External"/><Relationship Id="rId179" Type="http://schemas.openxmlformats.org/officeDocument/2006/relationships/hyperlink" Target="https://www.google.com/maps/place/MGM+New+Bombay+Hospital,+Vashi/data=!4m7!3m6!1s0x3be7c6caa94cef59:0xd2977d80d17491e8!8m2!3d19.072693!4d72.9936479!16s%2Fg%2F1tgy_19j!19sChIJWe9MqcrG5zsR6JF00YB9l9I?authuser=0&amp;hl=en&amp;rclk=1" TargetMode="External"/><Relationship Id="rId178" Type="http://schemas.openxmlformats.org/officeDocument/2006/relationships/hyperlink" Target="http://www.mgmhospitalvashi.net/" TargetMode="External"/><Relationship Id="rId177" Type="http://schemas.openxmlformats.org/officeDocument/2006/relationships/hyperlink" Target="https://www.google.com/maps/place/Mahavir+Maternity+and+Surgical+Hospital/data=!4m7!3m6!1s0x3be7c0d0b4206ef5:0xda6ec0849f1733af!8m2!3d19.100912!4d73.0108753!16s%2Fg%2F11b879xbw_!19sChIJ9W4gtNDA5zsRrzMXn4TAbto?authuser=0&amp;hl=en&amp;rclk=1" TargetMode="External"/><Relationship Id="rId20" Type="http://schemas.openxmlformats.org/officeDocument/2006/relationships/hyperlink" Target="https://www.google.com/maps/place/ART+Fertility+Clinics/data=!4m7!3m6!1s0x3be7c9f4dd2ad901:0x69a60861fe685c28!8m2!3d19.07118!4d72.87709!16s%2Fg%2F11q8y5nz8r!19sChIJAdkq3fTJ5zsRKFxo_mEIpmk?authuser=0&amp;hl=en&amp;rclk=1" TargetMode="External"/><Relationship Id="rId22" Type="http://schemas.openxmlformats.org/officeDocument/2006/relationships/hyperlink" Target="https://www.instagram.com/artfertilityclinics" TargetMode="External"/><Relationship Id="rId21" Type="http://schemas.openxmlformats.org/officeDocument/2006/relationships/hyperlink" Target="https://www.google.com/aclk?sa=L&amp;ai=DChsSEwjY_q3l5-OVAxXQhWYCHQ6GN9gYACICCAEQCxoCc20&amp;co=1&amp;ase=2&amp;gclid=CjwKCAjwsfzSBhB5EiwAOGyqSa8bJmiInQcnqhYOoPHpcSABmZNKk6Nx2iOESQr5MdFW614cV373-BoCQxY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02BkDFe0onG1zHICP9IauMYOumMw&amp;adurl&amp;q&amp;ctype=99&amp;nis=6" TargetMode="External"/><Relationship Id="rId24" Type="http://schemas.openxmlformats.org/officeDocument/2006/relationships/hyperlink" Target="https://www.google.com/aclk?sa=L&amp;ai=DChsSEwjEga3j5-OVAxXGmGYCHSv4L60YACICCAEQBRoCc20&amp;co=1&amp;ase=2&amp;gclid=CjwKCAjwsfzSBhB5EiwAOGyqSTtAOGNHNSBEHIVnrWwP9gSl-fdjqI4VWBDSoXKHVxJLWLVFUHh5sRoCg9U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VK-l2VpDixYtQZeT_BunAV-iMoA&amp;adurl&amp;q&amp;ctype=99&amp;nis=6" TargetMode="External"/><Relationship Id="rId23" Type="http://schemas.openxmlformats.org/officeDocument/2006/relationships/hyperlink" Target="https://www.google.com/maps/place/ART+Fertility+Clinics/data=!4m7!3m6!1s0x3be7c9f4dd2ad901:0x69a60861fe685c28!8m2!3d19.07118!4d72.87709!16s%2Fg%2F11q8y5nz8r!19sChIJAdkq3fTJ5zsRKFxo_mEIpmk?authuser=0&amp;hl=en&amp;rclk=1" TargetMode="External"/><Relationship Id="rId26" Type="http://schemas.openxmlformats.org/officeDocument/2006/relationships/hyperlink" Target="https://www.google.com/maps/place/ASG+Eye+Hospital+%7C+Best+Cataract,+Lasik+%26+Retina+Centre+-+Vashi,+Mumbai/data=!4m7!3m6!1s0x3be7c1f454bd3783:0x9e0b8aaab5dc8756!8m2!3d19.070291!4d72.997918!16s%2Fg%2F11k3d0lph0!19sChIJgze9VPTB5zsRVofctaqKC54?authuser=0&amp;hl=en&amp;rclk=1" TargetMode="External"/><Relationship Id="rId25" Type="http://schemas.openxmlformats.org/officeDocument/2006/relationships/hyperlink" Target="https://www.instagram.com/asgeyehospital" TargetMode="External"/><Relationship Id="rId28" Type="http://schemas.openxmlformats.org/officeDocument/2006/relationships/hyperlink" Target="https://www.google.com/maps/place/Ayuramrit+Ayurved+Clinic/data=!4m7!3m6!1s0x3be7c219996deae3:0xbb9a097635c277e4!8m2!3d19.048221!4d73.0689048!16s%2Fg%2F11c0xvb29b!19sChIJ4-ptmRnC5zsR5HfCNXYJmrs?authuser=0&amp;hl=en&amp;rclk=1" TargetMode="External"/><Relationship Id="rId27" Type="http://schemas.openxmlformats.org/officeDocument/2006/relationships/hyperlink" Target="http://aguramrit.org/" TargetMode="External"/><Relationship Id="rId29" Type="http://schemas.openxmlformats.org/officeDocument/2006/relationships/hyperlink" Target="https://www.google.com/maps/place/Ayush+Clinic/data=!4m7!3m6!1s0x3be7c3ea25555555:0x639edf4685ce5535!8m2!3d19.0341284!4d73.0146921!16s%2Fg%2F11srv8y1lx!19sChIJVVVVJerD5zsRNVXOhUbfnmM?authuser=0&amp;hl=en&amp;rclk=1" TargetMode="External"/><Relationship Id="rId11" Type="http://schemas.openxmlformats.org/officeDocument/2006/relationships/hyperlink" Target="https://www.apollohospitals.com/hospitals/apollo-hospitals-mumbai" TargetMode="External"/><Relationship Id="rId10" Type="http://schemas.openxmlformats.org/officeDocument/2006/relationships/hyperlink" Target="https://www.google.com/maps/place/Aniruddha+Health+Clinic/data=!4m7!3m6!1s0x3be7c24cb71e71f9:0x2fdc4500545e765a!8m2!3d19.0246747!4d73.0410086!16s%2Fg%2F11tdl6tyx6!19sChIJ-XEet0zC5zsRWnZeVABF3C8?authuser=0&amp;hl=en&amp;rclk=1" TargetMode="External"/><Relationship Id="rId13" Type="http://schemas.openxmlformats.org/officeDocument/2006/relationships/hyperlink" Target="https://www.google.com/maps/place/Apollo+Hospital,/data=!4m7!3m6!1s0x3be7c3903a3c9297:0xb858a25d34856005!8m2!3d19.0208646!4d73.0287337!16s%2Fg%2F11plkkvf08!19sChIJl5I8OpDD5zsRBWCFNF2iWLg?authuser=0&amp;hl=en&amp;rclk=1" TargetMode="External"/><Relationship Id="rId12" Type="http://schemas.openxmlformats.org/officeDocument/2006/relationships/hyperlink" Target="https://www.instagram.com/theapollohospitals" TargetMode="External"/><Relationship Id="rId15" Type="http://schemas.openxmlformats.org/officeDocument/2006/relationships/hyperlink" Target="https://www.instagram.com/theapollohospitals" TargetMode="External"/><Relationship Id="rId198" Type="http://schemas.openxmlformats.org/officeDocument/2006/relationships/hyperlink" Target="https://www.instagram.com/oroface.in" TargetMode="External"/><Relationship Id="rId14" Type="http://schemas.openxmlformats.org/officeDocument/2006/relationships/hyperlink" Target="https://www.apollohospitals.com/" TargetMode="External"/><Relationship Id="rId197" Type="http://schemas.openxmlformats.org/officeDocument/2006/relationships/hyperlink" Target="https://oroface.in/" TargetMode="External"/><Relationship Id="rId17" Type="http://schemas.openxmlformats.org/officeDocument/2006/relationships/hyperlink" Target="https://www.google.com/maps/place/Arihant+Clinic/data=!4m7!3m6!1s0x3be7c3bf00b5c935:0x32e3708e152d2cd1!8m2!3d19.0269386!4d73.0201229!16s%2Fg%2F113gbxqjy!19sChIJNcm1AL_D5zsR0SwtFY5w4zI?authuser=0&amp;hl=en&amp;rclk=1" TargetMode="External"/><Relationship Id="rId196" Type="http://schemas.openxmlformats.org/officeDocument/2006/relationships/hyperlink" Target="https://www.google.com/maps/place/Om+Physiotherapy+Clinic/data=!4m7!3m6!1s0x3be7c3c0ae5bdad7:0x61938f5a6891e2c8!8m2!3d19.0304069!4d73.0223393!16s%2Fg%2F1thl3x03!19sChIJ19pbrsDD5zsRyOKRaFqPk2E?authuser=0&amp;hl=en&amp;rclk=1" TargetMode="External"/><Relationship Id="rId16" Type="http://schemas.openxmlformats.org/officeDocument/2006/relationships/hyperlink" Target="https://www.google.com/maps/place/Apollo+ProHealth+-+Navi+Mumbai/data=!4m7!3m6!1s0x3be7c3d15044d7e7:0xbdebc5b46159df7a!8m2!3d19.020968!4d73.029081!16s%2Fg%2F11ltlczckh!19sChIJ59dEUNHD5zsRet9ZYbTF670?authuser=0&amp;hl=en&amp;rclk=1" TargetMode="External"/><Relationship Id="rId195" Type="http://schemas.openxmlformats.org/officeDocument/2006/relationships/hyperlink" Target="https://www.instagram.com/omphysiotherapy" TargetMode="External"/><Relationship Id="rId19" Type="http://schemas.openxmlformats.org/officeDocument/2006/relationships/hyperlink" Target="https://www.instagram.com/artfertilityclinics" TargetMode="External"/><Relationship Id="rId18" Type="http://schemas.openxmlformats.org/officeDocument/2006/relationships/hyperlink" Target="https://www.google.com/aclk?sa=L&amp;ai=DChsSEwjEga3j5-OVAxXGmGYCHSv4L60YACICCAEQABoCc20&amp;co=1&amp;ase=2&amp;gclid=CjwKCAjwsfzSBhB5EiwAOGyqSRqHv8zm3JQ3XITZthGBOX6tl3OqxVUzpxkmKhbFNu2bIerIQf8YMBoCjJM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AXjq4v1QR-MsYwLJX71Qe77Pj0A&amp;adurl&amp;q&amp;ctype=99&amp;nis=6" TargetMode="External"/><Relationship Id="rId199" Type="http://schemas.openxmlformats.org/officeDocument/2006/relationships/hyperlink" Target="https://www.google.com/maps/place/OroFace%C2%AE+Dental+Clinic+Seawoods,+Navi+Mumbai/data=!4m7!3m6!1s0x3be7c3972b48f493:0x6d4dce716f56f618!8m2!3d19.0196096!4d73.0115372!16s%2Fg%2F11c707x3bh!19sChIJk_RIK5fD5zsRGPZWb3HOTW0?authuser=0&amp;hl=en&amp;rclk=1" TargetMode="External"/><Relationship Id="rId84" Type="http://schemas.openxmlformats.org/officeDocument/2006/relationships/hyperlink" Target="https://www.google.com/maps/place/Dr+Rahul+Bhatambre/data=!4m7!3m6!1s0x3be7c26a3fe726fb:0x9f05e057e93983a9!8m2!3d19.0334848!4d73.0655577!16s%2Fg%2F11c74_7fjp!19sChIJ-ybnP2rC5zsRqYM56VfgBZ8?authuser=0&amp;hl=en&amp;rclk=1" TargetMode="External"/><Relationship Id="rId83" Type="http://schemas.openxmlformats.org/officeDocument/2006/relationships/hyperlink" Target="https://www.google.com/maps/place/Dr+Pooja+Bansal/data=!4m7!3m6!1s0x3be7c3c6b6dc9349:0x103422387181eb13!8m2!3d19.0274048!4d73.0231625!16s%2Fg%2F11hzxf985w!19sChIJSZPctsbD5zsRE-uBcTgiNBA?authuser=0&amp;hl=en&amp;rclk=1" TargetMode="External"/><Relationship Id="rId86" Type="http://schemas.openxmlformats.org/officeDocument/2006/relationships/hyperlink" Target="https://www.instagram.com/drrajaeyecare" TargetMode="External"/><Relationship Id="rId85" Type="http://schemas.openxmlformats.org/officeDocument/2006/relationships/hyperlink" Target="https://drrajaeyecare.com/" TargetMode="External"/><Relationship Id="rId88" Type="http://schemas.openxmlformats.org/officeDocument/2006/relationships/hyperlink" Target="https://www.google.com/maps/place/Dr+Rajendra+Patil.Clinic./data=!4m7!3m6!1s0x3be7c391b825dab5:0x7c8e84734ab868ca!8m2!3d19.037853!4d73.01539!16s%2Fg%2F11t5jdl1sh!19sChIJtdoluJHD5zsRymi4SnOEjnw?authuser=0&amp;hl=en&amp;rclk=1" TargetMode="External"/><Relationship Id="rId150" Type="http://schemas.openxmlformats.org/officeDocument/2006/relationships/hyperlink" Target="https://www.drrahulorthocare.com/" TargetMode="External"/><Relationship Id="rId87" Type="http://schemas.openxmlformats.org/officeDocument/2006/relationships/hyperlink" Target="https://www.google.com/maps/place/Dr+Raja/data=!4m7!3m6!1s0x3be7c717d4113341:0x5a2dbcad616792fc!8m2!3d19.0365259!4d73.017463!16s%2Fg%2F11fkhdl2g6!19sChIJQTMR1BfH5zsR_JJnYa28LVo?authuser=0&amp;hl=en&amp;rclk=1" TargetMode="External"/><Relationship Id="rId89" Type="http://schemas.openxmlformats.org/officeDocument/2006/relationships/hyperlink" Target="https://drsambhajipatil.com/" TargetMode="External"/><Relationship Id="rId80" Type="http://schemas.openxmlformats.org/officeDocument/2006/relationships/hyperlink" Target="https://www.google.com/maps/place/Dr+Pallavi+Clinic/data=!4m7!3m6!1s0x3be7c324c2fee1a7:0x955cfc8ff5ea8c55!8m2!3d19.0298618!4d73.0153222!16s%2Fg%2F11k434fxvp!19sChIJp-H-wiTD5zsRVYzq9Y_8XJU?authuser=0&amp;hl=en&amp;rclk=1" TargetMode="External"/><Relationship Id="rId82" Type="http://schemas.openxmlformats.org/officeDocument/2006/relationships/hyperlink" Target="https://www.instagram.com/drpoojabansal" TargetMode="External"/><Relationship Id="rId81" Type="http://schemas.openxmlformats.org/officeDocument/2006/relationships/hyperlink" Target="https://www.drpoojabansal.com/" TargetMode="External"/><Relationship Id="rId1" Type="http://schemas.openxmlformats.org/officeDocument/2006/relationships/hyperlink" Target="http://www.360homeocareclinic.com/" TargetMode="External"/><Relationship Id="rId2" Type="http://schemas.openxmlformats.org/officeDocument/2006/relationships/hyperlink" Target="https://www.google.com/maps/place/360+HOMEO+CARE+CLINIC/data=!4m7!3m6!1s0x3be7c3bbdb4eb027:0x9e0cb6fa5c230ae6!8m2!3d19.0233747!4d73.0248128!16s%2Fg%2F11cmcb1kz9!19sChIJJ7BO27vD5zsR5gojXPq2DJ4?authuser=0&amp;hl=en&amp;rclk=1" TargetMode="External"/><Relationship Id="rId3" Type="http://schemas.openxmlformats.org/officeDocument/2006/relationships/hyperlink" Target="https://naneshhospital.com/" TargetMode="External"/><Relationship Id="rId149" Type="http://schemas.openxmlformats.org/officeDocument/2006/relationships/hyperlink" Target="https://www.google.com/maps/place/Dr.Kamlesh+Giri+%28+Dr.Giri%27s+Multispeciality+Homeopathic+Clinic+,Nerul+Branch+%29/data=!4m7!3m6!1s0x3be7c3bf32a5c74b:0x93bad37407fa5af!8m2!3d19.027531!4d73.0226!16s%2Fg%2F11c74ymgxy!19sChIJS8elMr_D5zsRr6V_QDetOwk?authuser=0&amp;hl=en&amp;rclk=1" TargetMode="External"/><Relationship Id="rId4" Type="http://schemas.openxmlformats.org/officeDocument/2006/relationships/hyperlink" Target="https://www.instagram.com/naneshhospital" TargetMode="External"/><Relationship Id="rId148" Type="http://schemas.openxmlformats.org/officeDocument/2006/relationships/hyperlink" Target="http://www.drkamleshgiri.com/" TargetMode="External"/><Relationship Id="rId9" Type="http://schemas.openxmlformats.org/officeDocument/2006/relationships/hyperlink" Target="https://www.google.com/maps/place/Anand+Clinic/data=!4m7!3m6!1s0x3be7c3c303802b3d:0x286a0ce386758130!8m2!3d19.038677!4d73.0197082!16s%2Fg%2F11bw4jpygq!19sChIJPSuAA8PD5zsRMIF1huMMaig?authuser=0&amp;hl=en&amp;rclk=1" TargetMode="External"/><Relationship Id="rId143" Type="http://schemas.openxmlformats.org/officeDocument/2006/relationships/hyperlink" Target="https://www.google.com/maps/place/Dr.+Waghela%27s+ENT+and+Endoscopy+Clinic/data=!4m7!3m6!1s0x3be7c219f60ed645:0xc9edf24c3477faca!8m2!3d19.046816!4d73.069984!16s%2Fg%2F11f08yk6qr!19sChIJRdYO9hnC5zsRyvp3NEzy7ck?authuser=0&amp;hl=en&amp;rclk=1" TargetMode="External"/><Relationship Id="rId142" Type="http://schemas.openxmlformats.org/officeDocument/2006/relationships/hyperlink" Target="http://entnavimumbai.in/" TargetMode="External"/><Relationship Id="rId141" Type="http://schemas.openxmlformats.org/officeDocument/2006/relationships/hyperlink" Target="https://www.google.com/maps/place/Dr.+Veeral+Aliporewala/data=!4m7!3m6!1s0x3be7c399471d2bc7:0xfcf2f07f1e421a6e!8m2!3d19.0135779!4d73.011015!16s%2Fg%2F11fp47mwrk!19sChIJxysdR5nD5zsRbhpCHn_w8vw?authuser=0&amp;hl=en&amp;rclk=1" TargetMode="External"/><Relationship Id="rId140" Type="http://schemas.openxmlformats.org/officeDocument/2006/relationships/hyperlink" Target="https://www.google.com/maps/place/Dr.+Vaidehi+Kulkarni/data=!4m7!3m6!1s0x3be7c3aad330f82d:0xe317bc62a35333a4!8m2!3d19.025588!4d73.0177972!16s%2Fg%2F11q96lk3n8!19sChIJLfgw06rD5zsRpDNTo2K8F-M?authuser=0&amp;hl=en&amp;rclk=1" TargetMode="External"/><Relationship Id="rId5" Type="http://schemas.openxmlformats.org/officeDocument/2006/relationships/hyperlink" Target="https://www.google.com/maps/place/Acharya+Shri+Nanesh+Hospital/data=!4m7!3m6!1s0x3be7c23539fec13b:0xd98d02fabb970045!8m2!3d19.033325!4d73.041195!16s%2Fg%2F12cpldkhr!19sChIJO8H-OTXC5zsRRQCXu_oCjdk?authuser=0&amp;hl=en&amp;rclk=1" TargetMode="External"/><Relationship Id="rId147" Type="http://schemas.openxmlformats.org/officeDocument/2006/relationships/hyperlink" Target="https://www.google.com/maps/place/Dr.Garje+Ayurved+Clinic+%26+Panchakarma+Centre/data=!4m7!3m6!1s0x3be7c3c1e2cd4725:0xe3749dd4caa1bd0a!8m2!3d19.0343512!4d73.0169596!16s%2Fg%2F1hc8421c4!19sChIJJUfN4sHD5zsRCr2hytSddOM?authuser=0&amp;hl=en&amp;rclk=1" TargetMode="External"/><Relationship Id="rId6" Type="http://schemas.openxmlformats.org/officeDocument/2006/relationships/hyperlink" Target="https://drnevinaabraham.getmy.clinic/" TargetMode="External"/><Relationship Id="rId146" Type="http://schemas.openxmlformats.org/officeDocument/2006/relationships/hyperlink" Target="https://www.instagram.com/drgarjeayurved" TargetMode="External"/><Relationship Id="rId7" Type="http://schemas.openxmlformats.org/officeDocument/2006/relationships/hyperlink" Target="https://www.instagram.com/dr.nevin.abraham" TargetMode="External"/><Relationship Id="rId145" Type="http://schemas.openxmlformats.org/officeDocument/2006/relationships/hyperlink" Target="https://www.drgarjeayurved.com/" TargetMode="External"/><Relationship Id="rId8" Type="http://schemas.openxmlformats.org/officeDocument/2006/relationships/hyperlink" Target="https://www.google.com/maps/place/Alpha+Dental+Clinic/data=!4m7!3m6!1s0x3be7c3bd7981ef7d:0x45908abf3f22a486!8m2!3d19.0202786!4d73.0173018!16s%2Fg%2F11gcmmc1lr!19sChIJfe-Beb3D5zsRhqQiP7-KkEU?authuser=0&amp;hl=en&amp;rclk=1" TargetMode="External"/><Relationship Id="rId144" Type="http://schemas.openxmlformats.org/officeDocument/2006/relationships/hyperlink" Target="https://www.google.com/maps/place/Dr.Chitra%27s+BellaDerma/data=!4m7!3m6!1s0x3be7c3f2fe429b63:0xfcbeea04dc4c9309!8m2!3d19.0297471!4d73.025239!16s%2Fg%2F11r_w828f0!19sChIJY5tC_vLD5zsRCZNM3ATqvvw?authuser=0&amp;hl=en&amp;rclk=1" TargetMode="External"/><Relationship Id="rId73" Type="http://schemas.openxmlformats.org/officeDocument/2006/relationships/hyperlink" Target="https://www.drmaheshghogare.com/" TargetMode="External"/><Relationship Id="rId72" Type="http://schemas.openxmlformats.org/officeDocument/2006/relationships/hyperlink" Target="https://www.google.com/maps/place/Dr+Madhav+Dawkore+%E2%80%93+Pulmonologist+%26+Allergy+Specialist+Navi+mumbai/data=!4m7!3m6!1s0x3be7c38546bb6453:0x67973f0a6aee839d!8m2!3d19.0505159!4d73.0161525!16s%2Fg%2F11t2t_f_pd!19sChIJU2S7RoXD5zsRnYPuago_l2c?authuser=0&amp;hl=en&amp;rclk=1" TargetMode="External"/><Relationship Id="rId75" Type="http://schemas.openxmlformats.org/officeDocument/2006/relationships/hyperlink" Target="https://www.google.com/maps/place/Dr+Modak%27s+Harmony+Homoeopathic+Clinic/data=!4m7!3m6!1s0x3be7c371d7cc6ab3:0x54f5a88bb02c46cd!8m2!3d19.0227311!4d73.0211799!16s%2Fg%2F11ghpzk27l!19sChIJs2rM13HD5zsRzUYssIuo9VQ?authuser=0&amp;hl=en&amp;rclk=1" TargetMode="External"/><Relationship Id="rId74" Type="http://schemas.openxmlformats.org/officeDocument/2006/relationships/hyperlink" Target="https://www.google.com/maps/place/Dr+Mahesh+Ghogare,+BEST+CARDIOLOGIST+in+Navi+Mumbai,+Interventional+Cardiologist+Navi+Mumbai,+TAVI+%2F+TAVR+in+Navi+Mumbai/data=!4m7!3m6!1s0x3be7c142b0000001:0x9289e16f76d9552c!8m2!3d19.0246581!4d73.0222576!16s%2Fg%2F11hbdqx50v!19sChIJAQAAsELB5zsRLFXZdm_hiZI?authuser=0&amp;hl=en&amp;rclk=1" TargetMode="External"/><Relationship Id="rId77" Type="http://schemas.openxmlformats.org/officeDocument/2006/relationships/hyperlink" Target="https://www.instagram.com/arogyabhet" TargetMode="External"/><Relationship Id="rId76" Type="http://schemas.openxmlformats.org/officeDocument/2006/relationships/hyperlink" Target="https://arogyabhet.com/" TargetMode="External"/><Relationship Id="rId79" Type="http://schemas.openxmlformats.org/officeDocument/2006/relationships/hyperlink" Target="https://www.google.com/maps/place/Dr+Omkar+Mate%27s+Midas+Clinic/data=!4m7!3m6!1s0x3be7c385d4d7de89:0x65fcbd4711f70a25!8m2!3d19.0332773!4d73.0180734!16s%2Fg%2F11gmg60rsv!19sChIJid7X1IXD5zsRJQr3EUe9_GU?authuser=0&amp;hl=en&amp;rclk=1" TargetMode="External"/><Relationship Id="rId78" Type="http://schemas.openxmlformats.org/officeDocument/2006/relationships/hyperlink" Target="https://www.google.com/maps/place/Dr+Nagarekar+Atharva+Ayurveda+clinic/data=!4m7!3m6!1s0x3be7c34e2ebae60b:0xf2affcd51305bbe6!8m2!3d19.0403047!4d73.0152992!16s%2Fg%2F11h08dmsz8!19sChIJC-a6Lk7D5zsR5rsFE9X8r_I?authuser=0&amp;hl=en&amp;rclk=1" TargetMode="External"/><Relationship Id="rId71" Type="http://schemas.openxmlformats.org/officeDocument/2006/relationships/hyperlink" Target="https://onehealthclinicmumbai.com/" TargetMode="External"/><Relationship Id="rId70" Type="http://schemas.openxmlformats.org/officeDocument/2006/relationships/hyperlink" Target="https://www.google.com/maps/place/Dr+Karve%27s+Dentech/data=!4m7!3m6!1s0x3be7c7e6674bdb77:0x5a92f706cb9de866!8m2!3d19.118699!4d72.916476!16s%2Fg%2F11clyc21yl!19sChIJd9tLZ-bH5zsRZuidywb3klo?authuser=0&amp;hl=en&amp;rclk=1" TargetMode="External"/><Relationship Id="rId139" Type="http://schemas.openxmlformats.org/officeDocument/2006/relationships/hyperlink" Target="https://www.google.com/maps/place/Dr.+Sonal+Bansal-+Orthopedic+Doctor+-+Nerul+Navi+Mumbai/data=!4m7!3m6!1s0x3be7c3c3ffffff97:0xd82ee1a7e3b2579!8m2!3d19.0274177!4d73.023155!16s%2Fg%2F11cmcyw79m!19sChIJl____8PD5zsReSU7fhrugg0?authuser=0&amp;hl=en&amp;rclk=1" TargetMode="External"/><Relationship Id="rId138" Type="http://schemas.openxmlformats.org/officeDocument/2006/relationships/hyperlink" Target="https://www.instagram.com/drsonalbansal" TargetMode="External"/><Relationship Id="rId137" Type="http://schemas.openxmlformats.org/officeDocument/2006/relationships/hyperlink" Target="https://www.drsbansal.com/" TargetMode="External"/><Relationship Id="rId258" Type="http://schemas.openxmlformats.org/officeDocument/2006/relationships/drawing" Target="../drawings/drawing3.xml"/><Relationship Id="rId132" Type="http://schemas.openxmlformats.org/officeDocument/2006/relationships/hyperlink" Target="https://www.instagram.com/drshalindubey" TargetMode="External"/><Relationship Id="rId253" Type="http://schemas.openxmlformats.org/officeDocument/2006/relationships/hyperlink" Target="https://vlcc.com/clinics/beauty-wellness-clinic-seawoods,-navi-mumbai/264" TargetMode="External"/><Relationship Id="rId131" Type="http://schemas.openxmlformats.org/officeDocument/2006/relationships/hyperlink" Target="https://www.drshalindubey.com/" TargetMode="External"/><Relationship Id="rId252" Type="http://schemas.openxmlformats.org/officeDocument/2006/relationships/hyperlink" Target="https://www.google.com/maps/place/UpSkin+Aesthetic+Clinic+by+Dr+Juilee/data=!4m7!3m6!1s0x3be7c371cb59c8e1:0x6e76fbd63c92c80f!8m2!3d19.0331154!4d73.0186739!16s%2Fg%2F11x999c_7_!19sChIJ4chZy3HD5zsRD8iSPNb7dm4?authuser=0&amp;hl=en&amp;rclk=1" TargetMode="External"/><Relationship Id="rId130" Type="http://schemas.openxmlformats.org/officeDocument/2006/relationships/hyperlink" Target="https://www.google.com/maps/place/Dr.+Sanita%27s+Ananya+Women%27s+Clinic,+Best+Obstetrician+%26+Gynaecologist+in+Seawoods,+Navi+Mumbai+%7C+Maternity+%7C+Abortion+Clinic/data=!4m7!3m6!1s0x3be7c3abdfdd49c3:0x90063f53beb57217!8m2!3d19.0119188!4d73.0234878!16s%2Fg%2F11rg6xnq__!19sChIJw0nd36vD5zsRF3K1vlM_BpA?authuser=0&amp;hl=en&amp;rclk=1" TargetMode="External"/><Relationship Id="rId251" Type="http://schemas.openxmlformats.org/officeDocument/2006/relationships/hyperlink" Target="https://www.google.com/maps/place/Twacham+skin+clinic/data=!4m7!3m6!1s0x3be7c3261be1f0a9:0x57f040aac47d1323!8m2!3d19.0325195!4d73.0165992!16s%2Fg%2F11p0zbt431!19sChIJqfDhGybD5zsRIxN9xKpA8Fc?authuser=0&amp;hl=en&amp;rclk=1" TargetMode="External"/><Relationship Id="rId250" Type="http://schemas.openxmlformats.org/officeDocument/2006/relationships/hyperlink" Target="https://www.google.com/maps/place/The+Good+Health+Homeopathy+Clinic/data=!4m7!3m6!1s0x3be7c2199eb225bb:0xc3db31d85f876d60!8m2!3d19.0482358!4d73.0689068!16s%2Fg%2F11bwqp28zd!19sChIJuyWynhnC5zsRYG2HX9gx28M?authuser=0&amp;hl=en&amp;rclk=1" TargetMode="External"/><Relationship Id="rId136" Type="http://schemas.openxmlformats.org/officeDocument/2006/relationships/hyperlink" Target="https://www.google.com/maps/place/Dr.+Shraddha+Patil+-+PHYSIOTHERAPY+CLINIC+in+Belapur,+Navi+Mumbai,+Best+Physiotherapist+in+Seawoods,+Nerul,+Navi+Mumbai/data=!4m7!3m6!1s0x3be7c326a9de510f:0xaaa49ab28cdc4da8!8m2!3d19.0302065!4d73.0429263!16s%2Fg%2F11rv8051gh!19sChIJD1HeqSbD5zsRqE3cjLKapKo?authuser=0&amp;hl=en&amp;rclk=1" TargetMode="External"/><Relationship Id="rId257" Type="http://schemas.openxmlformats.org/officeDocument/2006/relationships/hyperlink" Target="https://www.google.com/maps/place/Vyana+Skin+Clinic+and+Yoga+Center+%28Navi+Mumbai%29/data=!4m7!3m6!1s0x3be7c3997d07c021:0xb37297c118b5ff4d!8m2!3d19.01372!4d73.0112652!16s%2Fg%2F11hbvp_rn3!19sChIJIcAHfZnD5zsRTf-1GMGXcrM?authuser=0&amp;hl=en&amp;rclk=1" TargetMode="External"/><Relationship Id="rId135" Type="http://schemas.openxmlformats.org/officeDocument/2006/relationships/hyperlink" Target="https://www.instagram.com/drshraddhapatil" TargetMode="External"/><Relationship Id="rId256" Type="http://schemas.openxmlformats.org/officeDocument/2006/relationships/hyperlink" Target="https://www.instagram.com/vlccindia" TargetMode="External"/><Relationship Id="rId134" Type="http://schemas.openxmlformats.org/officeDocument/2006/relationships/hyperlink" Target="https://www.drshraddhapatil.com/" TargetMode="External"/><Relationship Id="rId255" Type="http://schemas.openxmlformats.org/officeDocument/2006/relationships/hyperlink" Target="https://www.google.com/maps/place/VLCC+Beauty+Clinic+%28Seawoods,+Navi+Mumbai+%29/data=!4m7!3m6!1s0x3be7c3f7cf111ec3:0x7484d41426c46d69!8m2!3d19.0119712!4d73.012314!16s%2Fg%2F11wg26f58z!19sChIJwx4Rz_fD5zsRaW3EJhTUhHQ?authuser=0&amp;hl=en&amp;rclk=1" TargetMode="External"/><Relationship Id="rId133" Type="http://schemas.openxmlformats.org/officeDocument/2006/relationships/hyperlink" Target="https://www.google.com/maps/place/Dr.+Shalin+Dubey,+Robotic+%26+Laparoscopic+Surgeon/data=!4m7!3m6!1s0x3be7c3b75c7e461f:0xf4ccfaf00a176c3a!8m2!3d19.0237437!4d73.0277338!16s%2Fg%2F11gfdbl3_z!19sChIJH0Z-XLfD5zsROmwXCvD6zPQ?authuser=0&amp;hl=en&amp;rclk=1" TargetMode="External"/><Relationship Id="rId254" Type="http://schemas.openxmlformats.org/officeDocument/2006/relationships/hyperlink" Target="https://www.instagram.com/vlccindia" TargetMode="External"/><Relationship Id="rId62" Type="http://schemas.openxmlformats.org/officeDocument/2006/relationships/hyperlink" Target="https://www.google.com/maps/place/Dr+Chandan+Saha+MBBS+Clinic/data=!4m7!3m6!1s0x3be7c346e855170b:0x91ca99af8cacdbea!8m2!3d19.0401059!4d73.0176641!16s%2Fg%2F11c2qpjp0n!19sChIJCxdV6EbD5zsR6tusjK-ZypE?authuser=0&amp;hl=en&amp;rclk=1" TargetMode="External"/><Relationship Id="rId61" Type="http://schemas.openxmlformats.org/officeDocument/2006/relationships/hyperlink" Target="https://www.google.com/maps/place/Dr+Batra%E2%80%99s+Homeopathy+Clinic/data=!4m7!3m6!1s0x3be7c3c0c782483b:0xe0a102e770fe4288!8m2!3d19.0310537!4d73.0217795!16s%2Fg%2F12hr5cmft!19sChIJO0iCx8DD5zsRiEL-cOcCoeA?authuser=0&amp;hl=en&amp;rclk=1" TargetMode="External"/><Relationship Id="rId64" Type="http://schemas.openxmlformats.org/officeDocument/2006/relationships/hyperlink" Target="https://www.instagram.com/myheartclinics" TargetMode="External"/><Relationship Id="rId63" Type="http://schemas.openxmlformats.org/officeDocument/2006/relationships/hyperlink" Target="https://myheartclinics.com/index.php" TargetMode="External"/><Relationship Id="rId66" Type="http://schemas.openxmlformats.org/officeDocument/2006/relationships/hyperlink" Target="https://www.drjairajshospital.com/" TargetMode="External"/><Relationship Id="rId172" Type="http://schemas.openxmlformats.org/officeDocument/2006/relationships/hyperlink" Target="https://www.instagram.com/kokilabenhospital" TargetMode="External"/><Relationship Id="rId65" Type="http://schemas.openxmlformats.org/officeDocument/2006/relationships/hyperlink" Target="https://www.google.com/maps/place/Dr+Ghogare%27s/data=!4m7!3m6!1s0x3be7c331998fcdeb:0xfd98877b283a9f5e!8m2!3d19.0250148!4d73.0223871!16s%2Fg%2F11h54x3yfp!19sChIJ682PmTHD5zsRXp86KHuHmP0?authuser=0&amp;hl=en&amp;rclk=1" TargetMode="External"/><Relationship Id="rId171" Type="http://schemas.openxmlformats.org/officeDocument/2006/relationships/hyperlink" Target="https://navimumbai.kokilabenhospital.com/" TargetMode="External"/><Relationship Id="rId68" Type="http://schemas.openxmlformats.org/officeDocument/2006/relationships/hyperlink" Target="https://www.google.com/aclk?sa=L&amp;ai=DChsSEwjY_q3l5-OVAxXQhWYCHQ6GN9gYACICCAEQAhoCc20&amp;co=1&amp;ase=2&amp;gclid=CjwKCAjwsfzSBhB5EiwAOGyqScQrE05nG84DLc6zM3CT0ECLsZPDstKPGssFpOVH50_pSqQpix5jAhoChTM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2DBhIsv40g5AAZmcura5Ue0IhxNw&amp;adurl&amp;q&amp;ctype=99&amp;nis=6" TargetMode="External"/><Relationship Id="rId170" Type="http://schemas.openxmlformats.org/officeDocument/2006/relationships/hyperlink" Target="https://www.google.com/maps/place/Kids+Clinic/data=!4m7!3m6!1s0x3be7c3bfc1f5506d:0x1f7ed60cc3af128!8m2!3d19.0240321!4d73.0178303!16s%2Fg%2F1pp2txs04!19sChIJbVD1wb_D5zsRKPE6zGDt9wE?authuser=0&amp;hl=en&amp;rclk=1" TargetMode="External"/><Relationship Id="rId67" Type="http://schemas.openxmlformats.org/officeDocument/2006/relationships/hyperlink" Target="https://www.google.com/maps/place/Dr+Jairajs+Hospital/data=!4m7!3m6!1s0x3be7c3ad73247343:0x7957b177cdfbb2a9!8m2!3d19.0252216!4d73.041946!16s%2Fg%2F1tg_dh_c!19sChIJQ3Mkc63D5zsRqbL7zXexV3k?authuser=0&amp;hl=en&amp;rclk=1" TargetMode="External"/><Relationship Id="rId60" Type="http://schemas.openxmlformats.org/officeDocument/2006/relationships/hyperlink" Target="https://www.instagram.com/drbatrashealthcare" TargetMode="External"/><Relationship Id="rId165" Type="http://schemas.openxmlformats.org/officeDocument/2006/relationships/hyperlink" Target="https://www.google.com/maps/place/Hridaya+Navjeevanlaya+Clinic+%7C+Dr+Bhasker+Semitha+%7C+CVTS+Surgeon+%7CNerul+East,+Navi+Mumbai/data=!4m7!3m6!1s0x3be7c3fe31da7e97:0xbdfafc351fa089d4!8m2!3d19.0378034!4d73.0189377!16s%2Fg%2F11js9tf2pb!19sChIJl37aMf7D5zsR1ImgHzX8-r0?authuser=0&amp;hl=en&amp;rclk=1" TargetMode="External"/><Relationship Id="rId69" Type="http://schemas.openxmlformats.org/officeDocument/2006/relationships/hyperlink" Target="https://www.instagram.com/drbatrashealthcare" TargetMode="External"/><Relationship Id="rId164" Type="http://schemas.openxmlformats.org/officeDocument/2006/relationships/hyperlink" Target="https://www.instagram.com/hridayanavjeevanalaya" TargetMode="External"/><Relationship Id="rId163" Type="http://schemas.openxmlformats.org/officeDocument/2006/relationships/hyperlink" Target="https://hridayanavjeevanalaya.com/" TargetMode="External"/><Relationship Id="rId162" Type="http://schemas.openxmlformats.org/officeDocument/2006/relationships/hyperlink" Target="https://www.google.com/maps/place/Health+Care+Clinic/data=!4m7!3m6!1s0x3be7c3bc27753c85:0x6cfb8c05c28a9fb3!8m2!3d19.0245599!4d73.0197486!16s%2Fg%2F1pp2txp0_!19sChIJhTx1J7zD5zsRs5-KwgWM-2w?authuser=0&amp;hl=en&amp;rclk=1" TargetMode="External"/><Relationship Id="rId169" Type="http://schemas.openxmlformats.org/officeDocument/2006/relationships/hyperlink" Target="https://www.google.com/maps/place/Jalphama+Clinic+%28+Dr.+Bhanushali%29/data=!4m7!3m6!1s0x3be7c3c7911986eb:0x74e823347d80b11d!8m2!3d19.031161!4d73.026728!16s%2Fg%2F1pv2l2tyb!19sChIJ64YZkcfD5zsRHbGAfTQj6HQ?authuser=0&amp;hl=en&amp;rclk=1" TargetMode="External"/><Relationship Id="rId168" Type="http://schemas.openxmlformats.org/officeDocument/2006/relationships/hyperlink" Target="https://www.google.com/maps/place/Ivory+Physiotherapy+Clinic+Nerul+Navi+Mumbai/data=!4m7!3m6!1s0x3be7c357181be0f9:0x43273c8f83a0f300!8m2!3d19.0110622!4d73.013619!16s%2Fg%2F11t5dxshjk!19sChIJ-eAbGFfD5zsRAPOgg488J0M?authuser=0&amp;hl=en&amp;rclk=1" TargetMode="External"/><Relationship Id="rId167" Type="http://schemas.openxmlformats.org/officeDocument/2006/relationships/hyperlink" Target="https://www.instagram.com/ivoryphysiotherapy" TargetMode="External"/><Relationship Id="rId166" Type="http://schemas.openxmlformats.org/officeDocument/2006/relationships/hyperlink" Target="https://ivoryphysiotherapy.in/" TargetMode="External"/><Relationship Id="rId51" Type="http://schemas.openxmlformats.org/officeDocument/2006/relationships/hyperlink" Target="https://www.instagram.com/dypatilhospital" TargetMode="External"/><Relationship Id="rId50" Type="http://schemas.openxmlformats.org/officeDocument/2006/relationships/hyperlink" Target="https://dypatilhospitals.com/" TargetMode="External"/><Relationship Id="rId53" Type="http://schemas.openxmlformats.org/officeDocument/2006/relationships/hyperlink" Target="http://dentalpulseclinic.com/" TargetMode="External"/><Relationship Id="rId52" Type="http://schemas.openxmlformats.org/officeDocument/2006/relationships/hyperlink" Target="https://www.google.com/maps/place/D+Y+Patil+Hospital/data=!4m7!3m6!1s0x3be7c618a5555555:0xa446b85191e625c8!8m2!3d19.0411561!4d73.0246854!16s%2Fg%2F11csrv8x53!19sChIJVVVVpRjG5zsRyCXmkVG4RqQ?authuser=0&amp;hl=en&amp;rclk=1" TargetMode="External"/><Relationship Id="rId55" Type="http://schemas.openxmlformats.org/officeDocument/2006/relationships/hyperlink" Target="https://www.google.com/maps/place/Dermed+Clinic/data=!4m7!3m6!1s0x3be7c397bee9aa87:0xed9c3ab75bb93e8c!8m2!3d19.0182874!4d73.0123738!16s%2Fg%2F11c5zxh3vr!19sChIJh6rpvpfD5zsRjD65W7c6nO0?authuser=0&amp;hl=en&amp;rclk=1" TargetMode="External"/><Relationship Id="rId161" Type="http://schemas.openxmlformats.org/officeDocument/2006/relationships/hyperlink" Target="https://www.google.com/maps/place/Family+Health+Clinic/data=!4m7!3m6!1s0x3be7c3751b6a4f49:0x64c685205b2a7c4c!8m2!3d19.0311396!4d73.0268152!16s%2Fg%2F11t6n7_wh9!19sChIJSU9qG3XD5zsRTHwqWyCFxmQ?authuser=0&amp;hl=en&amp;rclk=1" TargetMode="External"/><Relationship Id="rId54" Type="http://schemas.openxmlformats.org/officeDocument/2006/relationships/hyperlink" Target="https://www.google.com/maps/place/Dental+Pulse+Clinic/data=!4m7!3m6!1s0x3be7c3c0e2af0db3:0x5ae99b51c2d5444!8m2!3d19.0309791!4d73.0217513!16s%2Fg%2F11df80zt_8!19sChIJsw2v4sDD5zsRRFQtHLWZrgU?authuser=0&amp;hl=en&amp;rclk=1" TargetMode="External"/><Relationship Id="rId160" Type="http://schemas.openxmlformats.org/officeDocument/2006/relationships/hyperlink" Target="https://www.google.com/maps/place/Family+Care+Clinic+Nerul+Navi+Mumbai/data=!4m7!3m6!1s0x3be7c3c934900977:0x57d39a810a8d346!8m2!3d19.0396026!4d73.017636!16s%2Fg%2F11vm7jbkdb!19sChIJdwmQNMnD5zsRRtOoEKg5fQU?authuser=0&amp;hl=en&amp;rclk=1" TargetMode="External"/><Relationship Id="rId57" Type="http://schemas.openxmlformats.org/officeDocument/2006/relationships/hyperlink" Target="https://www.instagram.com/drashwathyharidas" TargetMode="External"/><Relationship Id="rId56" Type="http://schemas.openxmlformats.org/officeDocument/2006/relationships/hyperlink" Target="https://drashwathyharidas.com/" TargetMode="External"/><Relationship Id="rId159" Type="http://schemas.openxmlformats.org/officeDocument/2006/relationships/hyperlink" Target="https://www.google.com/maps/place/Echelon+Hospital/data=!4m7!3m6!1s0x3be7c0ce2ed4c9cf:0x6f5fc27430527124!8m2!3d19.1085005!4d73.0017709!16s%2Fg%2F1thk764z!19sChIJz8nULs7A5zsRJHFSMHTCX28?authuser=0&amp;hl=en&amp;rclk=1" TargetMode="External"/><Relationship Id="rId59" Type="http://schemas.openxmlformats.org/officeDocument/2006/relationships/hyperlink" Target="https://clinics.drbatras.com/navi-mumbai/homeopathy-clinic-sector-21" TargetMode="External"/><Relationship Id="rId154" Type="http://schemas.openxmlformats.org/officeDocument/2006/relationships/hyperlink" Target="https://dypatilhealthcare.com/" TargetMode="External"/><Relationship Id="rId58" Type="http://schemas.openxmlformats.org/officeDocument/2006/relationships/hyperlink" Target="https://www.google.com/maps/place/Dr+Ashwathy+Haridas+%7C+Kidney+and+Hypertension+Clinic+%7C+Best+Nephrologist+In+Navi+Mumbai/data=!4m7!3m6!1s0x3be7c3bed8600a5f:0x62b29724444747d8!8m2!3d19.0131344!4d73.012722!16s%2Fg%2F11s3zl3vxw!19sChIJXwpg2L7D5zsR2EdHRCSXsmI?authuser=0&amp;hl=en&amp;rclk=1" TargetMode="External"/><Relationship Id="rId153" Type="http://schemas.openxmlformats.org/officeDocument/2006/relationships/hyperlink" Target="https://www.google.com/maps/place/Dr.Shende+Homoeopathic+Clinic/data=!4m7!3m6!1s0x3be7c3c232d64ab7:0x984a5ae1573b328a!8m2!3d19.0364007!4d73.0200049!16s%2Fg%2F11cmdfj53y!19sChIJt0rWMsLD5zsRijI7V-FaSpg?authuser=0&amp;hl=en&amp;rclk=1" TargetMode="External"/><Relationship Id="rId152" Type="http://schemas.openxmlformats.org/officeDocument/2006/relationships/hyperlink" Target="https://www.google.com/maps/place/Dr.Rahul+Jagtap+%7C+Orthopedic+Surgeon+in+Navi+Mumbai+%7C+Platinum+Ortho+Clinic/data=!4m7!3m6!1s0x3be7c3c0a358b65f:0x47129d144b2b87e7!8m2!3d19.0297274!4d73.0254862!16s%2Fg%2F11mlfzq0tt!19sChIJX7ZYo8DD5zsR54crSxSdEkc?authuser=0&amp;hl=en&amp;rclk=1" TargetMode="External"/><Relationship Id="rId151" Type="http://schemas.openxmlformats.org/officeDocument/2006/relationships/hyperlink" Target="https://www.instagram.com/drrahulorthocare" TargetMode="External"/><Relationship Id="rId158" Type="http://schemas.openxmlformats.org/officeDocument/2006/relationships/hyperlink" Target="https://www.instagram.com/echelonhospital" TargetMode="External"/><Relationship Id="rId157" Type="http://schemas.openxmlformats.org/officeDocument/2006/relationships/hyperlink" Target="https://www.echelonhospital.com/" TargetMode="External"/><Relationship Id="rId156" Type="http://schemas.openxmlformats.org/officeDocument/2006/relationships/hyperlink" Target="https://www.google.com/maps/place/DY+Patil+Healthcare/data=!4m7!3m6!1s0x3be7c3db45555555:0xc0630db5ea0b5ed!8m2!3d19.0409427!4d73.0245966!16s%2Fg%2F11fnp9gd3f!19sChIJVVVVRdvD5zsR7bWgXtswBgw?authuser=0&amp;hl=en&amp;rclk=1" TargetMode="External"/><Relationship Id="rId155" Type="http://schemas.openxmlformats.org/officeDocument/2006/relationships/hyperlink" Target="https://www.instagram.com/dypatilhealthcare" TargetMode="External"/><Relationship Id="rId107" Type="http://schemas.openxmlformats.org/officeDocument/2006/relationships/hyperlink" Target="https://www.drjanugades.com/" TargetMode="External"/><Relationship Id="rId228" Type="http://schemas.openxmlformats.org/officeDocument/2006/relationships/hyperlink" Target="https://www.instagram.com/skinsoulindia" TargetMode="External"/><Relationship Id="rId106" Type="http://schemas.openxmlformats.org/officeDocument/2006/relationships/hyperlink" Target="https://www.google.com/maps/place/Dr.+Jain%27s+Dental+%26+Health+Studio/data=!4m7!3m6!1s0x3be7c127bcb832fd:0xf0f9e04a5796e469!8m2!3d19.0956067!4d73.0073283!16s%2Fg%2F11d_9d67l2!19sChIJ_TK4vCfB5zsRaeSWV0rg-fA?authuser=0&amp;hl=en&amp;rclk=1" TargetMode="External"/><Relationship Id="rId227" Type="http://schemas.openxmlformats.org/officeDocument/2006/relationships/hyperlink" Target="https://www.skinsoul.in/" TargetMode="External"/><Relationship Id="rId105" Type="http://schemas.openxmlformats.org/officeDocument/2006/relationships/hyperlink" Target="https://www.instagram.com/drjainsdentalstudio" TargetMode="External"/><Relationship Id="rId226" Type="http://schemas.openxmlformats.org/officeDocument/2006/relationships/hyperlink" Target="https://www.google.com/maps/place/Skin+Science+Clinic/data=!4m7!3m6!1s0x3be7c36b1840cb01:0xe12325ea03317617!8m2!3d19.0241021!4d73.0210187!16s%2Fg%2F11t4276g1s!19sChIJActAGGvD5zsRF3YxA-olI-E?authuser=0&amp;hl=en&amp;rclk=1" TargetMode="External"/><Relationship Id="rId104" Type="http://schemas.openxmlformats.org/officeDocument/2006/relationships/hyperlink" Target="https://drjainsdentalstudio.com/" TargetMode="External"/><Relationship Id="rId225" Type="http://schemas.openxmlformats.org/officeDocument/2006/relationships/hyperlink" Target="https://www.instagram.com/skinsciencemumbai" TargetMode="External"/><Relationship Id="rId109" Type="http://schemas.openxmlformats.org/officeDocument/2006/relationships/hyperlink" Target="https://www.drkalpeshmande.com/" TargetMode="External"/><Relationship Id="rId108" Type="http://schemas.openxmlformats.org/officeDocument/2006/relationships/hyperlink" Target="https://www.google.com/maps/place/Dr.+Janugade%E2%80%99s+Ayurveda/data=!4m7!3m6!1s0x3be7c12f3ddcfffb:0x5a4c2617fe33ba6a!8m2!3d19.0907804!4d73.0051462!16s%2Fg%2F1tgdm0j9!19sChIJ-__cPS_B5zsRaroz_hcmTFo?authuser=0&amp;hl=en&amp;rclk=1" TargetMode="External"/><Relationship Id="rId229" Type="http://schemas.openxmlformats.org/officeDocument/2006/relationships/hyperlink" Target="https://www.google.com/maps/place/Skin+Soul+-+Laser+hair+reduction+in+Navi+Mumbai,+ChemicalPeeling,+Hydra-facial+in+Navi+Mumbai,+Botox+treatment+in+Navi+Mumbai/data=!4m7!3m6!1s0x3be7c14a46874ead:0xffde2beb7bdfa747!8m2!3d19.0442387!4d73.009609!16s%2Fg%2F11fzbjjzkx!19sChIJrU6HRkrB5zsRR6ffe-sr3v8?authuser=0&amp;hl=en&amp;rclk=1" TargetMode="External"/><Relationship Id="rId220" Type="http://schemas.openxmlformats.org/officeDocument/2006/relationships/hyperlink" Target="https://www.google.com/maps/place/SHIFA+CLINIC+%26+HIJAMA+CENTER+%28DR+MOHD+ALIM%29/data=!4m7!3m6!1s0x3be7c3c395231817:0x9d389d4e4eeb3d10!8m2!3d19.036286!4d73.0214383!16s%2Fg%2F11tcwlhwgn!19sChIJFxgjlcPD5zsRED3rTk6dOJ0?authuser=0&amp;hl=en&amp;rclk=1" TargetMode="External"/><Relationship Id="rId103" Type="http://schemas.openxmlformats.org/officeDocument/2006/relationships/hyperlink" Target="https://www.google.com/maps/place/Dr.+Divyashree+Infectious+Diseases+%26+Vaccination+Clinic+in+Nerul,+Navi+Mumbai/data=!4m7!3m6!1s0x3be7c37cc6529ced:0x7d955bb3f3d793cf!8m2!3d19.0237908!4d73.0227001!16s%2Fg%2F11z8symppq!19sChIJ7ZxSxnzD5zsRz5PX87NblX0?authuser=0&amp;hl=en&amp;rclk=1" TargetMode="External"/><Relationship Id="rId224" Type="http://schemas.openxmlformats.org/officeDocument/2006/relationships/hyperlink" Target="https://skinsciencemumbai.com/" TargetMode="External"/><Relationship Id="rId102" Type="http://schemas.openxmlformats.org/officeDocument/2006/relationships/hyperlink" Target="https://www.instagram.com/divyashreeidclinic" TargetMode="External"/><Relationship Id="rId223" Type="http://schemas.openxmlformats.org/officeDocument/2006/relationships/hyperlink" Target="https://www.google.com/maps/place/Shree+Sai+clinic/data=!4m7!3m6!1s0x3be7c3aa18d8b603:0x50a27698e19091df!8m2!3d19.0326911!4d73.0230043!16s%2Fg%2F11smhcgpw7!19sChIJA7bYGKrD5zsR35GQ4Zh2olA?authuser=0&amp;hl=en&amp;rclk=1" TargetMode="External"/><Relationship Id="rId101" Type="http://schemas.openxmlformats.org/officeDocument/2006/relationships/hyperlink" Target="https://divyashreeidclinic.com/" TargetMode="External"/><Relationship Id="rId222" Type="http://schemas.openxmlformats.org/officeDocument/2006/relationships/hyperlink" Target="https://www.google.com/maps/place/Shree+Om+child+Clinic/data=!4m7!3m6!1s0x3be7c3782a01c23d:0x5c3aaa975a74713d!8m2!3d19.0298314!4d73.0254996!16s%2Fg%2F11rc4t9xsp!19sChIJPcIBKnjD5zsRPXF0WpeqOlw?authuser=0&amp;hl=en&amp;rclk=1" TargetMode="External"/><Relationship Id="rId100" Type="http://schemas.openxmlformats.org/officeDocument/2006/relationships/hyperlink" Target="https://www.google.com/maps/place/Dr.+Brajesh+Kumar+Kunwar+-+Best+Interventional+Cardiologist+in+Navi+Mumbai+%7C+Apollo+Hospitals/data=!4m7!3m6!1s0x3be7c3a055555515:0x3c3f37526a90656a!8m2!3d19.020638!4d73.0291831!16s%2Fg%2F11fz6v4bxx!19sChIJFVVVVaDD5zsRamWQalI3Pzw?authuser=0&amp;hl=en&amp;rclk=1" TargetMode="External"/><Relationship Id="rId221" Type="http://schemas.openxmlformats.org/officeDocument/2006/relationships/hyperlink" Target="https://www.google.com/maps/place/Shiv+Meera+Clinic/data=!4m7!3m6!1s0x3be7c115a60b1f59:0x7465c45bac4b130c!8m2!3d19.0787281!4d73.0190326!16s%2Fg%2F1pv19tryz!19sChIJWR8LphXB5zsRDBNLrFvEZXQ?authuser=0&amp;hl=en&amp;rclk=1" TargetMode="External"/><Relationship Id="rId217" Type="http://schemas.openxmlformats.org/officeDocument/2006/relationships/hyperlink" Target="https://saishraddhamotherandchildcarecenter.com/" TargetMode="External"/><Relationship Id="rId216" Type="http://schemas.openxmlformats.org/officeDocument/2006/relationships/hyperlink" Target="https://www.google.com/maps/place/Sai+Clinic/data=!4m7!3m6!1s0x3be7c3ea1fe82e29:0xcd08ba9e0de631df!8m2!3d19.0349762!4d73.0153322!16s%2Fg%2F1pp2tyy6x!19sChIJKS7oH-rD5zsR3zHmDZ66CM0?authuser=0&amp;hl=en&amp;rclk=1" TargetMode="External"/><Relationship Id="rId215" Type="http://schemas.openxmlformats.org/officeDocument/2006/relationships/hyperlink" Target="https://www.google.com/maps/place/Sabka+dentist/data=!4m7!3m6!1s0x3be7c3b8d37805c7:0x6e90345cc2fba1c6!8m2!3d19.0246836!4d73.0216118!16s%2Fg%2F1q675glcp!19sChIJxwV407jD5zsRxqH7wlw0kG4?authuser=0&amp;hl=en&amp;rclk=1" TargetMode="External"/><Relationship Id="rId214" Type="http://schemas.openxmlformats.org/officeDocument/2006/relationships/hyperlink" Target="https://www.instagram.com/sabkadentist" TargetMode="External"/><Relationship Id="rId219" Type="http://schemas.openxmlformats.org/officeDocument/2006/relationships/hyperlink" Target="https://www.google.com/maps/place/Sanjeevni+Clinic-+The+Family+Doctor/data=!4m7!3m6!1s0x3be7c1cea7b703fb:0x600191e4e76c7976!8m2!3d19.0390708!4d73.01777!16s%2Fg%2F11shj5hf25!19sChIJ-wO3p87B5zsRdnls5-SRAWA?authuser=0&amp;hl=en&amp;rclk=1" TargetMode="External"/><Relationship Id="rId218" Type="http://schemas.openxmlformats.org/officeDocument/2006/relationships/hyperlink" Target="https://www.google.com/maps/place/Sai+Shraddha+Mother+And+Child+Care+Clinic+-+Dr+Abhijit+Mhapankar/data=!4m7!3m6!1s0x3be7c3c287084589:0x24834ee60fb2a9a5!8m2!3d19.0301313!4d73.02502!16s%2Fg%2F11nfp5x8rq!19sChIJiUUIh8LD5zsRpamyD-ZOgyQ?authuser=0&amp;hl=en&amp;rclk=1" TargetMode="External"/><Relationship Id="rId213" Type="http://schemas.openxmlformats.org/officeDocument/2006/relationships/hyperlink" Target="https://www.sabkadentist.com/dental-clinics-in-navi-mumbai/nerul-east/" TargetMode="External"/><Relationship Id="rId212" Type="http://schemas.openxmlformats.org/officeDocument/2006/relationships/hyperlink" Target="https://www.google.com/maps/place/Roselle+Skin+Clinic/data=!4m7!3m6!1s0x3be7c3d3d69e366f:0xa86c4b8733e4ee99!8m2!3d19.037539!4d73.0189684!16s%2Fg%2F11yjn3xyt5!19sChIJbzae1tPD5zsRme7kM4dLbKg?authuser=0&amp;hl=en&amp;rclk=1" TargetMode="External"/><Relationship Id="rId211" Type="http://schemas.openxmlformats.org/officeDocument/2006/relationships/hyperlink" Target="https://www.instagram.com/roselleskinclinic" TargetMode="External"/><Relationship Id="rId210" Type="http://schemas.openxmlformats.org/officeDocument/2006/relationships/hyperlink" Target="https://www.roselleskinclinic.com/" TargetMode="External"/><Relationship Id="rId129" Type="http://schemas.openxmlformats.org/officeDocument/2006/relationships/hyperlink" Target="https://www.drsanitamishra.com/" TargetMode="External"/><Relationship Id="rId128" Type="http://schemas.openxmlformats.org/officeDocument/2006/relationships/hyperlink" Target="https://www.google.com/maps/place/Dr.+Sandeep+Rai,/data=!4m7!3m6!1s0x3be7c3b76561a75f:0x780d31030d58d861!8m2!3d19.0231511!4d73.0314235!16s%2Fg%2F11j0v0lpr9!19sChIJX6dhZbfD5zsRYdhYDQMxDXg?authuser=0&amp;hl=en&amp;rclk=1" TargetMode="External"/><Relationship Id="rId249" Type="http://schemas.openxmlformats.org/officeDocument/2006/relationships/hyperlink" Target="https://dralokkumar2659.getmy.clinic/?utm_source=gmb&amp;utm_medium=web&amp;utm_campaign=tu" TargetMode="External"/><Relationship Id="rId127" Type="http://schemas.openxmlformats.org/officeDocument/2006/relationships/hyperlink" Target="https://www.instagram.com/drsandeeprai" TargetMode="External"/><Relationship Id="rId248" Type="http://schemas.openxmlformats.org/officeDocument/2006/relationships/hyperlink" Target="https://www.google.com/maps/place/Terna+Speciality+Hospital+%26+Research+Centre,+Navi+Mumbai+%7C+Best+Hospital+in+Navi+Mumbai/data=!4m7!3m6!1s0x3be7c3ea86beb207:0x7f154e8cdff9c916!8m2!3d19.0315347!4d73.0162787!16s%2Fg%2F11gzm8fv1!19sChIJB7K-hurD5zsRFsn534xOFX8?authuser=0&amp;hl=en&amp;rclk=1" TargetMode="External"/><Relationship Id="rId126" Type="http://schemas.openxmlformats.org/officeDocument/2006/relationships/hyperlink" Target="https://www.drsandeeprai.com/" TargetMode="External"/><Relationship Id="rId247" Type="http://schemas.openxmlformats.org/officeDocument/2006/relationships/hyperlink" Target="https://www.instagram.com/ternahospital" TargetMode="External"/><Relationship Id="rId121" Type="http://schemas.openxmlformats.org/officeDocument/2006/relationships/hyperlink" Target="http://www.svdayurved.com/" TargetMode="External"/><Relationship Id="rId242" Type="http://schemas.openxmlformats.org/officeDocument/2006/relationships/hyperlink" Target="https://askhomeo.com/" TargetMode="External"/><Relationship Id="rId120" Type="http://schemas.openxmlformats.org/officeDocument/2006/relationships/hyperlink" Target="https://www.google.com/maps/place/DR.+PARVEZ+UMAR+KHAN,+ROSHAN+UMAR+CLINIC,Family+Phsician+%28M.B.B.S%29Nerul,Navi+Mumbai/data=!4m7!3m6!1s0x3be7c36ec80371df:0x5fed2ab38de5bd89!8m2!3d19.0284367!4d73.0181821!16s%2Fg%2F11s2k6tmd9!19sChIJ33EDyG7D5zsRib3ljbMq7V8?authuser=0&amp;hl=en&amp;rclk=1" TargetMode="External"/><Relationship Id="rId241" Type="http://schemas.openxmlformats.org/officeDocument/2006/relationships/hyperlink" Target="https://www.google.com/maps/place/Star+Heart+Clinic+-+Dr+Rakesh+Tirmale,+Cardiologist+Nerul+Navi+Mumbai/data=!4m7!3m6!1s0x3be7c3d5d828d4e5:0x980fae5edd0e7ef3!8m2!3d19.0474483!4d73.0190201!16s%2Fg%2F11ls2jzt3c!19sChIJ5dQo2NXD5zsR834O3V6uD5g?authuser=0&amp;hl=en&amp;rclk=1" TargetMode="External"/><Relationship Id="rId240" Type="http://schemas.openxmlformats.org/officeDocument/2006/relationships/hyperlink" Target="https://www.instagram.com/starheartclinic" TargetMode="External"/><Relationship Id="rId125" Type="http://schemas.openxmlformats.org/officeDocument/2006/relationships/hyperlink" Target="https://www.google.com/maps/place/Dr.+Salman%27s+Healthcare+clinic/data=!4m7!3m6!1s0x3be7c3e97713dd7f:0x3e624dd525be13e9!8m2!3d19.034756!4d73.01564!16s%2Fg%2F11rmx06x2j!19sChIJf90Td-nD5zsR6RO-JdVNYj4?authuser=0&amp;hl=en&amp;rclk=1" TargetMode="External"/><Relationship Id="rId246" Type="http://schemas.openxmlformats.org/officeDocument/2006/relationships/hyperlink" Target="https://ternahospital.org/" TargetMode="External"/><Relationship Id="rId124" Type="http://schemas.openxmlformats.org/officeDocument/2006/relationships/hyperlink" Target="https://www.google.com/maps/place/Dr.+Salil+Vijay+Patkar+-+Best+Medical+Oncologist+in+Navi+Mumbai+%7C+Apollo+Hospital+Navi+Mumbai/data=!4m7!3m6!1s0x3be7c3b0e19e8f69:0xfc48289fde73f93d!8m2!3d19.0231511!4d73.0314235!16s%2Fg%2F11ft5v48j1!19sChIJaY-e4bDD5zsRPflz3p8oSPw?authuser=0&amp;hl=en&amp;rclk=1" TargetMode="External"/><Relationship Id="rId245" Type="http://schemas.openxmlformats.org/officeDocument/2006/relationships/hyperlink" Target="https://www.google.com/maps/place/TAWTE+clinic/data=!4m7!3m6!1s0x3be7c309ac054a59:0x615528e027fbdf20!8m2!3d19.0291268!4d73.0231878!16s%2Fg%2F11fk1410nx!19sChIJWUoFrAnD5zsRIN_7J-AoVWE?authuser=0&amp;hl=en&amp;rclk=1" TargetMode="External"/><Relationship Id="rId123" Type="http://schemas.openxmlformats.org/officeDocument/2006/relationships/hyperlink" Target="https://www.apollohospitals.com/doctors/medical-oncologist/mumbai/dr-salil-vijay-patkar" TargetMode="External"/><Relationship Id="rId244" Type="http://schemas.openxmlformats.org/officeDocument/2006/relationships/hyperlink" Target="https://www.google.com/maps/place/SweetPills+Homeopathy+Clinics+%E2%80%93+Seawoods+%28Best+Homeopathy+Doctor+in+Navi+Mumbai%29/data=!4m7!3m6!1s0x3be7c3be73b4f329:0x9f205b3ba9f06bb3!8m2!3d19.0232165!4d73.0204214!16s%2Fg%2F1pt_1cz4c!19sChIJKfO0c77D5zsRs2vwqTtbIJ8?authuser=0&amp;hl=en&amp;rclk=1" TargetMode="External"/><Relationship Id="rId122" Type="http://schemas.openxmlformats.org/officeDocument/2006/relationships/hyperlink" Target="https://www.google.com/maps/place/Dr.+Pratik+M.+Patil%27s,+Shree+Vishwa+Dhanvantari+Ayurved+Chikitsalaya/data=!4m7!3m6!1s0x3be7c3bc3bf6a9ef:0xe985479b3c896555!8m2!3d19.0302183!4d73.0225182!16s%2Fg%2F1tj29gpf!19sChIJ76n2O7zD5zsRVWWJPJtHhek?authuser=0&amp;hl=en&amp;rclk=1" TargetMode="External"/><Relationship Id="rId243" Type="http://schemas.openxmlformats.org/officeDocument/2006/relationships/hyperlink" Target="https://www.instagram.com/sweetpillshomeopathy" TargetMode="External"/><Relationship Id="rId95" Type="http://schemas.openxmlformats.org/officeDocument/2006/relationships/hyperlink" Target="https://drsureshadediabetologist.com/" TargetMode="External"/><Relationship Id="rId94" Type="http://schemas.openxmlformats.org/officeDocument/2006/relationships/hyperlink" Target="https://www.google.com/maps/place/Dr+Sonam%27s+Skin+Clinic/data=!4m7!3m6!1s0x3be7c3c205a51029:0x1989c37affdb48bc!8m2!3d19.0362336!4d73.0125649!16s%2Fg%2F11n0899_r6!19sChIJKRClBcLD5zsRvEjb_3rDiRk?authuser=0&amp;hl=en&amp;rclk=1" TargetMode="External"/><Relationship Id="rId97" Type="http://schemas.openxmlformats.org/officeDocument/2006/relationships/hyperlink" Target="https://www.google.com/maps/place/Dr+Suresh+Ade/data=!4m7!3m6!1s0x3be7c14b0b438087:0x8a4507f5b2b8135e!8m2!3d19.0418173!4d73.0193001!16s%2Fg%2F11c6pm6_m8!19sChIJh4BDC0vB5zsRXhO4svUHRYo?authuser=0&amp;hl=en&amp;rclk=1" TargetMode="External"/><Relationship Id="rId96" Type="http://schemas.openxmlformats.org/officeDocument/2006/relationships/hyperlink" Target="https://www.instagram.com/drsureshadediabetologist" TargetMode="External"/><Relationship Id="rId99" Type="http://schemas.openxmlformats.org/officeDocument/2006/relationships/hyperlink" Target="https://www.apollohospitals.com/doctors/interventional-cardiologist/mumbai/dr-brajesh-kumar-kunwar" TargetMode="External"/><Relationship Id="rId98" Type="http://schemas.openxmlformats.org/officeDocument/2006/relationships/hyperlink" Target="https://www.google.com/maps/place/Dr+Swetha+Shetty-+Siddhant+Clinic/data=!4m7!3m6!1s0x3be7c38d78f769df:0x38210c944e9febd3!8m2!3d19.0302055!4d73.0254726!16s%2Fg%2F11xvbdq04d!19sChIJ32n3eI3D5zsR0-ufTpQMITg?authuser=0&amp;hl=en&amp;rclk=1" TargetMode="External"/><Relationship Id="rId91" Type="http://schemas.openxmlformats.org/officeDocument/2006/relationships/hyperlink" Target="http://drsangani.in/" TargetMode="External"/><Relationship Id="rId90" Type="http://schemas.openxmlformats.org/officeDocument/2006/relationships/hyperlink" Target="https://www.google.com/maps/place/Dr+Sambhaji+Patil/data=!4m7!3m6!1s0x3be7c365162311a5:0xbde12e5eb31f42dd!8m2!3d19.0385757!4d73.0202885!16s%2Fg%2F11nfw46299!19sChIJpREjFmXD5zsR3UIfs14u4b0?authuser=0&amp;hl=en&amp;rclk=1" TargetMode="External"/><Relationship Id="rId93" Type="http://schemas.openxmlformats.org/officeDocument/2006/relationships/hyperlink" Target="https://www.google.com/maps/place/Dr+Sangram+Karandikar/data=!4m7!3m6!1s0x3be7c3bf00bcf087:0x94fd9b290aa28882!8m2!3d19.0269818!4d73.0199724!16s%2Fg%2F113hgr1v1!19sChIJh_C8AL_D5zsRgoiiCimb_ZQ?authuser=0&amp;hl=en&amp;rclk=1" TargetMode="External"/><Relationship Id="rId92" Type="http://schemas.openxmlformats.org/officeDocument/2006/relationships/hyperlink" Target="https://www.google.com/maps/place/Dr+Sangani+Diagnostic+Centre/data=!4m7!3m6!1s0x3be7c3c151abb75d:0x8933c9d50912ed4b!8m2!3d19.0386897!4d73.0202252!16s%2Fg%2F1tr7b8cy!19sChIJXberUcHD5zsRS-0SCdXJM4k?authuser=0&amp;hl=en&amp;rclk=1" TargetMode="External"/><Relationship Id="rId118" Type="http://schemas.openxmlformats.org/officeDocument/2006/relationships/hyperlink" Target="https://skinhance.co.in/" TargetMode="External"/><Relationship Id="rId239" Type="http://schemas.openxmlformats.org/officeDocument/2006/relationships/hyperlink" Target="https://www.starheartclinic.co/" TargetMode="External"/><Relationship Id="rId117" Type="http://schemas.openxmlformats.org/officeDocument/2006/relationships/hyperlink" Target="https://www.google.com/maps/place/%F0%9D%97%97%F0%9D%97%BF.+%F0%9D%97%A1%F0%9D%97%B2%F0%9D%97%B2%F0%9D%98%81%F0%9D%97%AE%27%F0%9D%98%80+%F0%9D%97%95%F0%9D%97%BC%F0%9D%97%B1%F0%9D%98%86%F0%9D%98%80%F0%9D%97%B0%F0%9D%98%82%F0%9D%97%B9%F0%9D%97%BD%F0%9D%98%81+%F0%9D%97%96%F0%9D%97%B9%F0%9D%97%B6%F0%9D%97%BB%F0%9D%97%B6%F0%9D%97%B0/data=!4m7!3m6!1s0x3be7c31cd23bd707:0x95821035fd6ae1a8!8m2!3d19.0386174!4d73.0202805!16s%2Fg%2F11hzc8vzbk!19sChIJB9c70hzD5zsRqOFq_TUQgpU?authuser=0&amp;hl=en&amp;rclk=1" TargetMode="External"/><Relationship Id="rId238" Type="http://schemas.openxmlformats.org/officeDocument/2006/relationships/hyperlink" Target="https://www.google.com/maps/place/Sparsh+Skin+and+Hair+Cosmetology+Center/data=!4m7!3m6!1s0x3be7c0d9fb9d57bb:0xaa1e83806765c80f!8m2!3d19.1023143!4d73.0054881!16s%2Fg%2F1ptxqbj47!19sChIJu1ed-9nA5zsRD8hlZ4CDHqo?authuser=0&amp;hl=en&amp;rclk=1" TargetMode="External"/><Relationship Id="rId116" Type="http://schemas.openxmlformats.org/officeDocument/2006/relationships/hyperlink" Target="https://www.instagram.com/skinhanceclinic" TargetMode="External"/><Relationship Id="rId237" Type="http://schemas.openxmlformats.org/officeDocument/2006/relationships/hyperlink" Target="https://www.instagram.com/sparshskinclinics" TargetMode="External"/><Relationship Id="rId115" Type="http://schemas.openxmlformats.org/officeDocument/2006/relationships/hyperlink" Target="https://www.bodysculptclinic.in/" TargetMode="External"/><Relationship Id="rId236" Type="http://schemas.openxmlformats.org/officeDocument/2006/relationships/hyperlink" Target="https://www.sparshskinclinics.com/" TargetMode="External"/><Relationship Id="rId119" Type="http://schemas.openxmlformats.org/officeDocument/2006/relationships/hyperlink" Target="https://www.google.com/maps/place/Dr.+Neetu/data=!4m7!3m6!1s0x3be7c135f8a410e1:0xbefef6095a5f19be!8m2!3d19.0725692!4d72.9982326!16s%2Fg%2F11c31vp84v!19sChIJ4RCk-DXB5zsRvhlfWgn2_r4?authuser=0&amp;hl=en&amp;rclk=1" TargetMode="External"/><Relationship Id="rId110" Type="http://schemas.openxmlformats.org/officeDocument/2006/relationships/hyperlink" Target="https://www.google.com/maps/place/Dr.+Kalpesh+Mande+Ayurvedic+%26+Physiotherapy+Clinic/data=!4m7!3m6!1s0x3be7c1318fb00e69:0xf8bfe3bf2c3b161!8m2!3d19.0821344!4d72.9994654!16s%2Fg%2F11fzf4p481!19sChIJaQ6wjzHB5zsRYbHD8jv-iw8?authuser=0&amp;hl=en&amp;rclk=1" TargetMode="External"/><Relationship Id="rId231" Type="http://schemas.openxmlformats.org/officeDocument/2006/relationships/hyperlink" Target="https://www.instagram.com/skiniq.in" TargetMode="External"/><Relationship Id="rId230" Type="http://schemas.openxmlformats.org/officeDocument/2006/relationships/hyperlink" Target="https://www.skiniq.in/" TargetMode="External"/><Relationship Id="rId114" Type="http://schemas.openxmlformats.org/officeDocument/2006/relationships/hyperlink" Target="https://www.google.com/maps/place/Dr.+Marwa+Deshmukh+%7C+MD+Dermatology+%26+Venereal+Diseases+%7C+Navi+Mumbai/data=!4m7!3m6!1s0x3be7c328737d0557:0xb9b90db7c42db6b8!8m2!3d19.0365552!4d73.0222877!16s%2Fg%2F11n541zw8k!19sChIJVwV9cyjD5zsRuLYtxLcNubk?authuser=0&amp;hl=en&amp;rclk=1" TargetMode="External"/><Relationship Id="rId235" Type="http://schemas.openxmlformats.org/officeDocument/2006/relationships/hyperlink" Target="https://www.google.com/maps/place/Smile+Please+Dental+Clinic/data=!4m7!3m6!1s0x3be7c149bfffffff:0x28c638d6d6ba70d6!8m2!3d19.0731329!4d72.9982557!16s%2Fg%2F1tmg9x9m!19sChIJ____v0nB5zsR1nC61tY4xig?authuser=0&amp;hl=en&amp;rclk=1" TargetMode="External"/><Relationship Id="rId113" Type="http://schemas.openxmlformats.org/officeDocument/2006/relationships/hyperlink" Target="https://www.instagram.com/bodysculptclinic" TargetMode="External"/><Relationship Id="rId234" Type="http://schemas.openxmlformats.org/officeDocument/2006/relationships/hyperlink" Target="https://www.instagram.com/smiileplease" TargetMode="External"/><Relationship Id="rId112" Type="http://schemas.openxmlformats.org/officeDocument/2006/relationships/hyperlink" Target="https://www.google.com/maps/place/Dr.+Kshitij+Thoke/data=!4m7!3m6!1s0x3be7c217f42b6fc7:0xa25bbaa26d3e13bb!8m2!3d19.0469748!4d73.0700633!16s%2Fg%2F11b7tyswsm!19sChIJx28r9BfC5zsRuxM-baK6W6I?authuser=0&amp;hl=en&amp;rclk=1" TargetMode="External"/><Relationship Id="rId233" Type="http://schemas.openxmlformats.org/officeDocument/2006/relationships/hyperlink" Target="https://www.smiileplease.com/" TargetMode="External"/><Relationship Id="rId111" Type="http://schemas.openxmlformats.org/officeDocument/2006/relationships/hyperlink" Target="https://drmadhavimd.com/" TargetMode="External"/><Relationship Id="rId232" Type="http://schemas.openxmlformats.org/officeDocument/2006/relationships/hyperlink" Target="https://www.google.com/maps/place/SkinIQ+Skin+Clinic/data=!4m7!3m6!1s0x3be7c36e0a3f11ef:0x95f182a071cac221!8m2!3d19.0432094!4d73.0640734!16s%2Fg%2F11mvp6dv72!19sChIJ7xE_Cm7D5zsRIcLKcaCC8ZU?authuser=0&amp;hl=en&amp;rclk=1" TargetMode="External"/><Relationship Id="rId206" Type="http://schemas.openxmlformats.org/officeDocument/2006/relationships/hyperlink" Target="https://www.google.com/maps/place/Restore+Aesthetic+Clinic/data=!4m7!3m6!1s0x3be7c3c0b8bf2fc3:0x6a79483b3aa2c9fc!8m2!3d19.0310537!4d73.0217795!16s%2Fg%2F11ryd8kgq5!19sChIJwy-_uMDD5zsR_MmiOjtIeWo?authuser=0&amp;hl=en&amp;rclk=1" TargetMode="External"/><Relationship Id="rId205" Type="http://schemas.openxmlformats.org/officeDocument/2006/relationships/hyperlink" Target="https://www.instagram.com/restoreclinics" TargetMode="External"/><Relationship Id="rId204" Type="http://schemas.openxmlformats.org/officeDocument/2006/relationships/hyperlink" Target="https://www.restoreclinics.in/" TargetMode="External"/><Relationship Id="rId203" Type="http://schemas.openxmlformats.org/officeDocument/2006/relationships/hyperlink" Target="https://www.google.com/maps/place/Prana+Shakti+Clinic.+Dr+Ashwini+Raval.+Best+Homeopathic+Doctor+in+Navi+Mumbai./data=!4m7!3m6!1s0x3be7c330780f4c7f:0xf778a5042230e637!8m2!3d19.041258!4d73.010146!16s%2Fg%2F11w3zyl_fm!19sChIJf0wPeDDD5zsRN-YwIgSlePc?authuser=0&amp;hl=en&amp;rclk=1" TargetMode="External"/><Relationship Id="rId209" Type="http://schemas.openxmlformats.org/officeDocument/2006/relationships/hyperlink" Target="https://www.google.com/maps/place/Rivo+Skin+Care+Clinic+-+Laser+Hair+Removal+and+Dermatologist+in+Seawoods,+Navi+Mumbai/data=!4m7!3m6!1s0x3be7c3994cdc5325:0x1a3416050ec0c003!8m2!3d19.0116659!4d73.0120266!16s%2Fg%2F11gd1_dbz9!19sChIJJVPcTJnD5zsRA8DADgUWNBo?authuser=0&amp;hl=en&amp;rclk=1" TargetMode="External"/><Relationship Id="rId208" Type="http://schemas.openxmlformats.org/officeDocument/2006/relationships/hyperlink" Target="https://www.instagram.com/rivoskin" TargetMode="External"/><Relationship Id="rId207" Type="http://schemas.openxmlformats.org/officeDocument/2006/relationships/hyperlink" Target="https://www.rivoskin.com/" TargetMode="External"/><Relationship Id="rId202" Type="http://schemas.openxmlformats.org/officeDocument/2006/relationships/hyperlink" Target="https://www.google.com/maps/place/Parasnath+Speciality+Clinics+%7C+Knee+and+Spine+Clinic+in+Vashi,+Navi+Mumbai/data=!4m7!3m6!1s0x3be7c1dfafcc8b65:0xbaba3c2e67be05d4!8m2!3d19.0737122!4d72.9992978!16s%2Fg%2F11fk2mhxc4!19sChIJZYvMr9_B5zsR1AW-Zy48uro?authuser=0&amp;hl=en&amp;rclk=1" TargetMode="External"/><Relationship Id="rId201" Type="http://schemas.openxmlformats.org/officeDocument/2006/relationships/hyperlink" Target="https://www.instagram.com/parasnathclinics" TargetMode="External"/><Relationship Id="rId200" Type="http://schemas.openxmlformats.org/officeDocument/2006/relationships/hyperlink" Target="https://parasnathclinics.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Centre+For+Sight+%7C+Nerul+%7C+Navi+Mumbai/data=!4m7!3m6!1s0x3be7c3c6b1555555:0x7a370656617c2e06!8m2!3d19.0238561!4d73.021885!16s%2Fg%2F1ptwt1mns!19sChIJVVVVscbD5zsRBi58YVYGN3o?authuser=0&amp;hl=en&amp;rclk=1" TargetMode="External"/><Relationship Id="rId190" Type="http://schemas.openxmlformats.org/officeDocument/2006/relationships/hyperlink" Target="https://www.google.com/maps/place/New+skin+elixir+Skin+Clinic+In+Seawoods+Navi+Mumbai/data=!4m7!3m6!1s0x3be7c351bf1d0ca7:0xdab05449f4b8d65c!8m2!3d19.0125213!4d73.0229314!16s%2Fg%2F11tjlrz3yp!19sChIJpwwdv1HD5zsRXNa49ElUsNo?authuser=0&amp;hl=en&amp;rclk=1" TargetMode="External"/><Relationship Id="rId42" Type="http://schemas.openxmlformats.org/officeDocument/2006/relationships/hyperlink" Target="https://www.instagram.com/cloudninecare" TargetMode="External"/><Relationship Id="rId41" Type="http://schemas.openxmlformats.org/officeDocument/2006/relationships/hyperlink" Target="https://www.cloudninecare.com/centre/vashi?utm_city=mumbai&amp;utm_source=gmb&amp;utm_medium=organic&amp;utm_campaign=mumbai+vashi+c9-hospital-gmb-website+c9-hospital-vashi&amp;utm_content=website-button" TargetMode="External"/><Relationship Id="rId44" Type="http://schemas.openxmlformats.org/officeDocument/2006/relationships/hyperlink" Target="https://clovedental.in/dentist-near-me/navi-mumbai/sector-8nerulnavi-mumbai?utm_source=website&amp;utm_medium=gmb&amp;utm_campaign=Sector_8_Nerul_Navi_Mumbai_GMB" TargetMode="External"/><Relationship Id="rId194" Type="http://schemas.openxmlformats.org/officeDocument/2006/relationships/hyperlink" Target="http://www.omphysiotherapy.com/" TargetMode="External"/><Relationship Id="rId43" Type="http://schemas.openxmlformats.org/officeDocument/2006/relationships/hyperlink" Target="https://www.google.com/maps/place/Cloudnine+Hospital+-+Vashi+%7C+Maternity+%26+Pregnancy+Centre/data=!4m7!3m6!1s0x3be7c15eab21a345:0x7a38770bca94d1c0!8m2!3d19.0852316!4d73.007675!16s%2Fg%2F11f0_gktyv!19sChIJRaMhq17B5zsRwNGUygt3OHo?authuser=0&amp;hl=en&amp;rclk=1" TargetMode="External"/><Relationship Id="rId193" Type="http://schemas.openxmlformats.org/officeDocument/2006/relationships/hyperlink" Target="https://www.google.com/maps/place/Om+Clinic/data=!4m7!3m6!1s0x3be7c1316a7f9e77:0xcab164d190041735!8m2!3d19.080912!4d73.0004416!16s%2Fg%2F11tx_y_c22!19sChIJd55_ajHB5zsRNRcEkNFksco?authuser=0&amp;hl=en&amp;rclk=1" TargetMode="External"/><Relationship Id="rId46" Type="http://schemas.openxmlformats.org/officeDocument/2006/relationships/hyperlink" Target="https://www.google.com/maps/place/Clove+Dental+Clinic+-+Nerul+Sector+8,+Navi+Mumbai/data=!4m7!3m6!1s0x3be7c38379107e29:0xa53fc15c83c872c2!8m2!3d19.040947!4d73.0148091!16s%2Fg%2F11y7tg53v2!19sChIJKX4QeYPD5zsRwnLIg1zBP6U?authuser=0&amp;hl=en&amp;rclk=1" TargetMode="External"/><Relationship Id="rId192" Type="http://schemas.openxmlformats.org/officeDocument/2006/relationships/hyperlink" Target="https://www.google.com/maps/place/Nitai+children%27s+Clinic/data=!4m7!3m6!1s0x3be7c3a3064edaff:0x573a3fef53967679!8m2!3d19.030229!4d73.0225636!16s%2Fg%2F11g0s844bj!19sChIJ_9pOBqPD5zsReXaWU-8_Olc?authuser=0&amp;hl=en&amp;rclk=1" TargetMode="External"/><Relationship Id="rId45" Type="http://schemas.openxmlformats.org/officeDocument/2006/relationships/hyperlink" Target="https://www.instagram.com/clovedentalindia" TargetMode="External"/><Relationship Id="rId191" Type="http://schemas.openxmlformats.org/officeDocument/2006/relationships/hyperlink" Target="https://dromprakashj.getmy.clinic/" TargetMode="External"/><Relationship Id="rId48" Type="http://schemas.openxmlformats.org/officeDocument/2006/relationships/hyperlink" Target="https://www.instagram.com/kbcclinics" TargetMode="External"/><Relationship Id="rId187" Type="http://schemas.openxmlformats.org/officeDocument/2006/relationships/hyperlink" Target="https://www.google.com/maps/place/Nerul+Piles+Center/data=!4m7!3m6!1s0x3be7c3decb7b40fd:0xe36345355c40d88c!8m2!3d19.0441297!4d73.022612!16s%2Fg%2F11c3pwz5kd!19sChIJ_UB7y97D5zsRjNhAXDVFY-M?authuser=0&amp;hl=en&amp;rclk=1" TargetMode="External"/><Relationship Id="rId47" Type="http://schemas.openxmlformats.org/officeDocument/2006/relationships/hyperlink" Target="http://www.kbcclinics.com/" TargetMode="External"/><Relationship Id="rId186" Type="http://schemas.openxmlformats.org/officeDocument/2006/relationships/hyperlink" Target="https://nerulpilescenter.com/" TargetMode="External"/><Relationship Id="rId185" Type="http://schemas.openxmlformats.org/officeDocument/2006/relationships/hyperlink" Target="https://www.google.com/maps/place/MUKTA+HOMOEOPATHY+CLINIC/data=!4m7!3m6!1s0x3be7c3f9b096f1f3:0xbb597a59052a85e6!8m2!3d19.0375523!4d73.019036!16s%2Fg%2F11gj4l5s7_!19sChIJ8_GWsPnD5zsR5oUqBVl6Wbs?authuser=0&amp;hl=en&amp;rclk=1" TargetMode="External"/><Relationship Id="rId49" Type="http://schemas.openxmlformats.org/officeDocument/2006/relationships/hyperlink" Target="https://www.google.com/maps/place/Cosmetic+%26+Hair+Transplant+Clinic/data=!4m7!3m6!1s0x3be7c91028e4cc13:0x228f3ccb6c59d7d7!8m2!3d19.0246875!4d73.0221875!16s%2Fg%2F11bzwrt9t_!19sChIJE8zkKBDJ5zsR19dZbMs8jyI?authuser=0&amp;hl=en&amp;rclk=1" TargetMode="External"/><Relationship Id="rId184" Type="http://schemas.openxmlformats.org/officeDocument/2006/relationships/hyperlink" Target="https://www.google.com/maps/place/MPCT+Hospital/data=!4m7!3m6!1s0x3be7c15cb5740b23:0xe449834910676dda!8m2!3d19.0630462!4d73.0125691!16s%2Fg%2F11c0xnyl1q!19sChIJIwt0tVzB5zsR2m1nEEmDSeQ?authuser=0&amp;hl=en&amp;rclk=1" TargetMode="External"/><Relationship Id="rId189" Type="http://schemas.openxmlformats.org/officeDocument/2006/relationships/hyperlink" Target="https://www.instagram.com/newskinelixir" TargetMode="External"/><Relationship Id="rId188" Type="http://schemas.openxmlformats.org/officeDocument/2006/relationships/hyperlink" Target="https://newskinelixir.com/" TargetMode="External"/><Relationship Id="rId31" Type="http://schemas.openxmlformats.org/officeDocument/2006/relationships/hyperlink" Target="https://www.instagram.com/ayushakti" TargetMode="External"/><Relationship Id="rId30" Type="http://schemas.openxmlformats.org/officeDocument/2006/relationships/hyperlink" Target="https://www.ayushakti.com/" TargetMode="External"/><Relationship Id="rId33" Type="http://schemas.openxmlformats.org/officeDocument/2006/relationships/hyperlink" Target="https://www.bcaclinicindia.com/" TargetMode="External"/><Relationship Id="rId183" Type="http://schemas.openxmlformats.org/officeDocument/2006/relationships/hyperlink" Target="https://suranahospital.in/location/navi-mumbai/mpct" TargetMode="External"/><Relationship Id="rId32" Type="http://schemas.openxmlformats.org/officeDocument/2006/relationships/hyperlink" Target="https://www.google.com/maps/place/Ayushakti+Ayurved+Health+Centre+%7C+Panchakarma+Clinic+in+Navi+Mumbai/data=!4m7!3m6!1s0x3be7c3ab786a6a1f:0x4294e10b00f08572!8m2!3d19.0367236!4d73.0643284!16s%2Fg%2F11g_v6hfzy!19sChIJH2pqeKvD5zsRcoXwAAvhlEI?authuser=0&amp;hl=en&amp;rclk=1" TargetMode="External"/><Relationship Id="rId182" Type="http://schemas.openxmlformats.org/officeDocument/2006/relationships/hyperlink" Target="https://www.google.com/maps/place/Motherhood+Hospital/data=!4m7!3m6!1s0x3be7c3a93f6092e5:0x73fab948d50aaf4c!8m2!3d19.0357324!4d73.0632202!16s%2Fg%2F11f6ktmrz6!19sChIJ5ZJgP6nD5zsRTK8K1Ui5-nM?authuser=0&amp;hl=en&amp;rclk=1" TargetMode="External"/><Relationship Id="rId35" Type="http://schemas.openxmlformats.org/officeDocument/2006/relationships/hyperlink" Target="https://www.google.com/maps/place/BCA+CLINIC+NAVI+MUMBAI+by+Deepali+Banerjee/data=!4m7!3m6!1s0x3be7c1f3065cab8d:0x6bfadc5f2fe74d8b!8m2!3d19.053278!4d73.0070932!16s%2Fg%2F11zjvpwdcc!19sChIJjatcBvPB5zsRi03nL1_c-ms?authuser=0&amp;hl=en&amp;rclk=1" TargetMode="External"/><Relationship Id="rId181" Type="http://schemas.openxmlformats.org/officeDocument/2006/relationships/hyperlink" Target="https://www.instagram.com/motherhoodhospital" TargetMode="External"/><Relationship Id="rId34" Type="http://schemas.openxmlformats.org/officeDocument/2006/relationships/hyperlink" Target="https://www.instagram.com/bcaclinicindia" TargetMode="External"/><Relationship Id="rId180" Type="http://schemas.openxmlformats.org/officeDocument/2006/relationships/hyperlink" Target="https://www.motherhoodindia.com/locations/mumbai/?utm_source=mhi&amp;utm_medium=gmb&amp;utm_campaign=mumbai" TargetMode="External"/><Relationship Id="rId37" Type="http://schemas.openxmlformats.org/officeDocument/2006/relationships/hyperlink" Target="https://www.google.com/maps/place/Be+You+Aesthetics+Clinic-+Ayurvedic+doctor/data=!4m7!3m6!1s0x3be7c3a6d49e90cb:0x353b6db365b25829!8m2!3d19.0262789!4d73.0427916!16s%2Fg%2F11vq9n9ls0!19sChIJy5Ce1KbD5zsRKViyZbNtOzU?authuser=0&amp;hl=en&amp;rclk=1" TargetMode="External"/><Relationship Id="rId176" Type="http://schemas.openxmlformats.org/officeDocument/2006/relationships/hyperlink" Target="http://www.mahavirhospital.in.net/" TargetMode="External"/><Relationship Id="rId36" Type="http://schemas.openxmlformats.org/officeDocument/2006/relationships/hyperlink" Target="http://www.drsupriyaskinandhairclinic.com/" TargetMode="External"/><Relationship Id="rId175" Type="http://schemas.openxmlformats.org/officeDocument/2006/relationships/hyperlink" Target="https://www.google.com/maps/place/Lions+Hospital/data=!4m7!3m6!1s0x3be7c0d766c60807:0xdadd8c3a5ffb464a!8m2!3d19.1005881!4d73.0047438!16s%2Fg%2F1tf7qlnq!19sChIJBwjGZtfA5zsRSkb7XzqM3do?authuser=0&amp;hl=en&amp;rclk=1" TargetMode="External"/><Relationship Id="rId39" Type="http://schemas.openxmlformats.org/officeDocument/2006/relationships/hyperlink" Target="https://www.instagram.com/centreforsightindia" TargetMode="External"/><Relationship Id="rId174" Type="http://schemas.openxmlformats.org/officeDocument/2006/relationships/hyperlink" Target="http://lionshospital.co.in/" TargetMode="External"/><Relationship Id="rId38" Type="http://schemas.openxmlformats.org/officeDocument/2006/relationships/hyperlink" Target="https://www.centreforsight.net/eye-hospitals-in-india/mumbai/navi-mumbai?utm_source=GMB&amp;utm_medium=Local+Pack&amp;utm_campaign=GMB_Navi_Mumbai_Mumbai" TargetMode="External"/><Relationship Id="rId173" Type="http://schemas.openxmlformats.org/officeDocument/2006/relationships/hyperlink" Target="https://www.google.com/maps/place/Kokilaben+Dhirubhai+Ambani+Hospital/data=!4m7!3m6!1s0x3be7c0de93e7897b:0x8b1917237744e89b!8m2!3d19.1029024!4d73.012937!16s%2Fg%2F11f4l9rq3d!19sChIJe4nnk97A5zsRm-hEdyMXGYs?authuser=0&amp;hl=en&amp;rclk=1" TargetMode="External"/><Relationship Id="rId179" Type="http://schemas.openxmlformats.org/officeDocument/2006/relationships/hyperlink" Target="https://www.google.com/maps/place/MGM+New+Bombay+Hospital,+Vashi/data=!4m7!3m6!1s0x3be7c6caa94cef59:0xd2977d80d17491e8!8m2!3d19.072693!4d72.9936479!16s%2Fg%2F1tgy_19j!19sChIJWe9MqcrG5zsR6JF00YB9l9I?authuser=0&amp;hl=en&amp;rclk=1" TargetMode="External"/><Relationship Id="rId178" Type="http://schemas.openxmlformats.org/officeDocument/2006/relationships/hyperlink" Target="http://www.mgmhospitalvashi.net/" TargetMode="External"/><Relationship Id="rId177" Type="http://schemas.openxmlformats.org/officeDocument/2006/relationships/hyperlink" Target="https://www.google.com/maps/place/Mahavir+Maternity+and+Surgical+Hospital/data=!4m7!3m6!1s0x3be7c0d0b4206ef5:0xda6ec0849f1733af!8m2!3d19.100912!4d73.0108753!16s%2Fg%2F11b879xbw_!19sChIJ9W4gtNDA5zsRrzMXn4TAbto?authuser=0&amp;hl=en&amp;rclk=1" TargetMode="External"/><Relationship Id="rId20" Type="http://schemas.openxmlformats.org/officeDocument/2006/relationships/hyperlink" Target="https://www.google.com/maps/place/ART+Fertility+Clinics/data=!4m7!3m6!1s0x3be7c9f4dd2ad901:0x69a60861fe685c28!8m2!3d19.07118!4d72.87709!16s%2Fg%2F11q8y5nz8r!19sChIJAdkq3fTJ5zsRKFxo_mEIpmk?authuser=0&amp;hl=en&amp;rclk=1" TargetMode="External"/><Relationship Id="rId22" Type="http://schemas.openxmlformats.org/officeDocument/2006/relationships/hyperlink" Target="https://www.instagram.com/artfertilityclinics" TargetMode="External"/><Relationship Id="rId21" Type="http://schemas.openxmlformats.org/officeDocument/2006/relationships/hyperlink" Target="https://www.google.com/aclk?sa=L&amp;ai=DChsSEwjY_q3l5-OVAxXQhWYCHQ6GN9gYACICCAEQCxoCc20&amp;co=1&amp;ase=2&amp;gclid=CjwKCAjwsfzSBhB5EiwAOGyqSa8bJmiInQcnqhYOoPHpcSABmZNKk6Nx2iOESQr5MdFW614cV373-BoCQxY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02BkDFe0onG1zHICP9IauMYOumMw&amp;adurl&amp;q&amp;ctype=99&amp;nis=6" TargetMode="External"/><Relationship Id="rId24" Type="http://schemas.openxmlformats.org/officeDocument/2006/relationships/hyperlink" Target="https://www.google.com/aclk?sa=L&amp;ai=DChsSEwjEga3j5-OVAxXGmGYCHSv4L60YACICCAEQBRoCc20&amp;co=1&amp;ase=2&amp;gclid=CjwKCAjwsfzSBhB5EiwAOGyqSTtAOGNHNSBEHIVnrWwP9gSl-fdjqI4VWBDSoXKHVxJLWLVFUHh5sRoCg9U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VK-l2VpDixYtQZeT_BunAV-iMoA&amp;adurl&amp;q&amp;ctype=99&amp;nis=6" TargetMode="External"/><Relationship Id="rId23" Type="http://schemas.openxmlformats.org/officeDocument/2006/relationships/hyperlink" Target="https://www.google.com/maps/place/ART+Fertility+Clinics/data=!4m7!3m6!1s0x3be7c9f4dd2ad901:0x69a60861fe685c28!8m2!3d19.07118!4d72.87709!16s%2Fg%2F11q8y5nz8r!19sChIJAdkq3fTJ5zsRKFxo_mEIpmk?authuser=0&amp;hl=en&amp;rclk=1" TargetMode="External"/><Relationship Id="rId26" Type="http://schemas.openxmlformats.org/officeDocument/2006/relationships/hyperlink" Target="https://www.google.com/maps/place/ASG+Eye+Hospital+%7C+Best+Cataract,+Lasik+%26+Retina+Centre+-+Vashi,+Mumbai/data=!4m7!3m6!1s0x3be7c1f454bd3783:0x9e0b8aaab5dc8756!8m2!3d19.070291!4d72.997918!16s%2Fg%2F11k3d0lph0!19sChIJgze9VPTB5zsRVofctaqKC54?authuser=0&amp;hl=en&amp;rclk=1" TargetMode="External"/><Relationship Id="rId25" Type="http://schemas.openxmlformats.org/officeDocument/2006/relationships/hyperlink" Target="https://www.instagram.com/asgeyehospital" TargetMode="External"/><Relationship Id="rId28" Type="http://schemas.openxmlformats.org/officeDocument/2006/relationships/hyperlink" Target="https://www.google.com/maps/place/Ayuramrit+Ayurved+Clinic/data=!4m7!3m6!1s0x3be7c219996deae3:0xbb9a097635c277e4!8m2!3d19.048221!4d73.0689048!16s%2Fg%2F11c0xvb29b!19sChIJ4-ptmRnC5zsR5HfCNXYJmrs?authuser=0&amp;hl=en&amp;rclk=1" TargetMode="External"/><Relationship Id="rId27" Type="http://schemas.openxmlformats.org/officeDocument/2006/relationships/hyperlink" Target="http://aguramrit.org/" TargetMode="External"/><Relationship Id="rId29" Type="http://schemas.openxmlformats.org/officeDocument/2006/relationships/hyperlink" Target="https://www.google.com/maps/place/Ayush+Clinic/data=!4m7!3m6!1s0x3be7c3ea25555555:0x639edf4685ce5535!8m2!3d19.0341284!4d73.0146921!16s%2Fg%2F11srv8y1lx!19sChIJVVVVJerD5zsRNVXOhUbfnmM?authuser=0&amp;hl=en&amp;rclk=1" TargetMode="External"/><Relationship Id="rId11" Type="http://schemas.openxmlformats.org/officeDocument/2006/relationships/hyperlink" Target="https://www.apollohospitals.com/hospitals/apollo-hospitals-mumbai" TargetMode="External"/><Relationship Id="rId10" Type="http://schemas.openxmlformats.org/officeDocument/2006/relationships/hyperlink" Target="https://www.google.com/maps/place/Aniruddha+Health+Clinic/data=!4m7!3m6!1s0x3be7c24cb71e71f9:0x2fdc4500545e765a!8m2!3d19.0246747!4d73.0410086!16s%2Fg%2F11tdl6tyx6!19sChIJ-XEet0zC5zsRWnZeVABF3C8?authuser=0&amp;hl=en&amp;rclk=1" TargetMode="External"/><Relationship Id="rId13" Type="http://schemas.openxmlformats.org/officeDocument/2006/relationships/hyperlink" Target="https://www.google.com/maps/place/Apollo+Hospital,/data=!4m7!3m6!1s0x3be7c3903a3c9297:0xb858a25d34856005!8m2!3d19.0208646!4d73.0287337!16s%2Fg%2F11plkkvf08!19sChIJl5I8OpDD5zsRBWCFNF2iWLg?authuser=0&amp;hl=en&amp;rclk=1" TargetMode="External"/><Relationship Id="rId12" Type="http://schemas.openxmlformats.org/officeDocument/2006/relationships/hyperlink" Target="https://www.instagram.com/theapollohospitals" TargetMode="External"/><Relationship Id="rId15" Type="http://schemas.openxmlformats.org/officeDocument/2006/relationships/hyperlink" Target="https://www.instagram.com/theapollohospitals" TargetMode="External"/><Relationship Id="rId198" Type="http://schemas.openxmlformats.org/officeDocument/2006/relationships/hyperlink" Target="https://www.instagram.com/oroface.in" TargetMode="External"/><Relationship Id="rId14" Type="http://schemas.openxmlformats.org/officeDocument/2006/relationships/hyperlink" Target="https://www.apollohospitals.com/" TargetMode="External"/><Relationship Id="rId197" Type="http://schemas.openxmlformats.org/officeDocument/2006/relationships/hyperlink" Target="https://oroface.in/" TargetMode="External"/><Relationship Id="rId17" Type="http://schemas.openxmlformats.org/officeDocument/2006/relationships/hyperlink" Target="https://www.google.com/maps/place/Arihant+Clinic/data=!4m7!3m6!1s0x3be7c3bf00b5c935:0x32e3708e152d2cd1!8m2!3d19.0269386!4d73.0201229!16s%2Fg%2F113gbxqjy!19sChIJNcm1AL_D5zsR0SwtFY5w4zI?authuser=0&amp;hl=en&amp;rclk=1" TargetMode="External"/><Relationship Id="rId196" Type="http://schemas.openxmlformats.org/officeDocument/2006/relationships/hyperlink" Target="https://www.google.com/maps/place/Om+Physiotherapy+Clinic/data=!4m7!3m6!1s0x3be7c3c0ae5bdad7:0x61938f5a6891e2c8!8m2!3d19.0304069!4d73.0223393!16s%2Fg%2F1thl3x03!19sChIJ19pbrsDD5zsRyOKRaFqPk2E?authuser=0&amp;hl=en&amp;rclk=1" TargetMode="External"/><Relationship Id="rId16" Type="http://schemas.openxmlformats.org/officeDocument/2006/relationships/hyperlink" Target="https://www.google.com/maps/place/Apollo+ProHealth+-+Navi+Mumbai/data=!4m7!3m6!1s0x3be7c3d15044d7e7:0xbdebc5b46159df7a!8m2!3d19.020968!4d73.029081!16s%2Fg%2F11ltlczckh!19sChIJ59dEUNHD5zsRet9ZYbTF670?authuser=0&amp;hl=en&amp;rclk=1" TargetMode="External"/><Relationship Id="rId195" Type="http://schemas.openxmlformats.org/officeDocument/2006/relationships/hyperlink" Target="https://www.instagram.com/omphysiotherapy" TargetMode="External"/><Relationship Id="rId19" Type="http://schemas.openxmlformats.org/officeDocument/2006/relationships/hyperlink" Target="https://www.instagram.com/artfertilityclinics" TargetMode="External"/><Relationship Id="rId18" Type="http://schemas.openxmlformats.org/officeDocument/2006/relationships/hyperlink" Target="https://www.google.com/aclk?sa=L&amp;ai=DChsSEwjEga3j5-OVAxXGmGYCHSv4L60YACICCAEQABoCc20&amp;co=1&amp;ase=2&amp;gclid=CjwKCAjwsfzSBhB5EiwAOGyqSRqHv8zm3JQ3XITZthGBOX6tl3OqxVUzpxkmKhbFNu2bIerIQf8YMBoCjJMQAvD_BwE&amp;cid=CAAS0wHkaI85O8JJUOylJovBAy-LsWBAB44HDW28jy4X8dGtznyF_isMrSlPwW7sTH5AFdWHT7fxlxZo_JZ0-6d05FV3UdOg7gTP9H3eq3-J7h57WxOX68PrRCxfZFz40lzb70RcGBZfSGcaC1qzUeYsEgxCxQLmuTV3pJINCQRr475x_d4uQwJcjuaNO5akBPEOITW66yCBp0LSyqnvTNALN2-xCkdS_BwF6aN1kh5bBX41yJnvQFFPt6DrUvyf0mC-C3VRKV9d4ElkUmbEsRbpbr2MUDXI&amp;cce=2&amp;category=acrcp_v1_32&amp;sig=AOD64_2AXjq4v1QR-MsYwLJX71Qe77Pj0A&amp;adurl&amp;q&amp;ctype=99&amp;nis=6" TargetMode="External"/><Relationship Id="rId199" Type="http://schemas.openxmlformats.org/officeDocument/2006/relationships/hyperlink" Target="https://www.google.com/maps/place/OroFace%C2%AE+Dental+Clinic+Seawoods,+Navi+Mumbai/data=!4m7!3m6!1s0x3be7c3972b48f493:0x6d4dce716f56f618!8m2!3d19.0196096!4d73.0115372!16s%2Fg%2F11c707x3bh!19sChIJk_RIK5fD5zsRGPZWb3HOTW0?authuser=0&amp;hl=en&amp;rclk=1" TargetMode="External"/><Relationship Id="rId84" Type="http://schemas.openxmlformats.org/officeDocument/2006/relationships/hyperlink" Target="https://www.google.com/maps/place/Dr+Rahul+Bhatambre/data=!4m7!3m6!1s0x3be7c26a3fe726fb:0x9f05e057e93983a9!8m2!3d19.0334848!4d73.0655577!16s%2Fg%2F11c74_7fjp!19sChIJ-ybnP2rC5zsRqYM56VfgBZ8?authuser=0&amp;hl=en&amp;rclk=1" TargetMode="External"/><Relationship Id="rId83" Type="http://schemas.openxmlformats.org/officeDocument/2006/relationships/hyperlink" Target="https://www.google.com/maps/place/Dr+Pooja+Bansal/data=!4m7!3m6!1s0x3be7c3c6b6dc9349:0x103422387181eb13!8m2!3d19.0274048!4d73.0231625!16s%2Fg%2F11hzxf985w!19sChIJSZPctsbD5zsRE-uBcTgiNBA?authuser=0&amp;hl=en&amp;rclk=1" TargetMode="External"/><Relationship Id="rId86" Type="http://schemas.openxmlformats.org/officeDocument/2006/relationships/hyperlink" Target="https://www.instagram.com/drrajaeyecare" TargetMode="External"/><Relationship Id="rId85" Type="http://schemas.openxmlformats.org/officeDocument/2006/relationships/hyperlink" Target="https://drrajaeyecare.com/" TargetMode="External"/><Relationship Id="rId88" Type="http://schemas.openxmlformats.org/officeDocument/2006/relationships/hyperlink" Target="https://www.google.com/maps/place/Dr+Rajendra+Patil.Clinic./data=!4m7!3m6!1s0x3be7c391b825dab5:0x7c8e84734ab868ca!8m2!3d19.037853!4d73.01539!16s%2Fg%2F11t5jdl1sh!19sChIJtdoluJHD5zsRymi4SnOEjnw?authuser=0&amp;hl=en&amp;rclk=1" TargetMode="External"/><Relationship Id="rId150" Type="http://schemas.openxmlformats.org/officeDocument/2006/relationships/hyperlink" Target="https://www.drrahulorthocare.com/" TargetMode="External"/><Relationship Id="rId87" Type="http://schemas.openxmlformats.org/officeDocument/2006/relationships/hyperlink" Target="https://www.google.com/maps/place/Dr+Raja/data=!4m7!3m6!1s0x3be7c717d4113341:0x5a2dbcad616792fc!8m2!3d19.0365259!4d73.017463!16s%2Fg%2F11fkhdl2g6!19sChIJQTMR1BfH5zsR_JJnYa28LVo?authuser=0&amp;hl=en&amp;rclk=1" TargetMode="External"/><Relationship Id="rId89" Type="http://schemas.openxmlformats.org/officeDocument/2006/relationships/hyperlink" Target="https://drsambhajipatil.com/" TargetMode="External"/><Relationship Id="rId80" Type="http://schemas.openxmlformats.org/officeDocument/2006/relationships/hyperlink" Target="https://www.google.com/maps/place/Dr+Pallavi+Clinic/data=!4m7!3m6!1s0x3be7c324c2fee1a7:0x955cfc8ff5ea8c55!8m2!3d19.0298618!4d73.0153222!16s%2Fg%2F11k434fxvp!19sChIJp-H-wiTD5zsRVYzq9Y_8XJU?authuser=0&amp;hl=en&amp;rclk=1" TargetMode="External"/><Relationship Id="rId82" Type="http://schemas.openxmlformats.org/officeDocument/2006/relationships/hyperlink" Target="https://www.instagram.com/drpoojabansal" TargetMode="External"/><Relationship Id="rId81" Type="http://schemas.openxmlformats.org/officeDocument/2006/relationships/hyperlink" Target="https://www.drpoojabansal.com/" TargetMode="External"/><Relationship Id="rId1" Type="http://schemas.openxmlformats.org/officeDocument/2006/relationships/hyperlink" Target="http://www.360homeocareclinic.com/" TargetMode="External"/><Relationship Id="rId2" Type="http://schemas.openxmlformats.org/officeDocument/2006/relationships/hyperlink" Target="https://www.google.com/maps/place/360+HOMEO+CARE+CLINIC/data=!4m7!3m6!1s0x3be7c3bbdb4eb027:0x9e0cb6fa5c230ae6!8m2!3d19.0233747!4d73.0248128!16s%2Fg%2F11cmcb1kz9!19sChIJJ7BO27vD5zsR5gojXPq2DJ4?authuser=0&amp;hl=en&amp;rclk=1" TargetMode="External"/><Relationship Id="rId3" Type="http://schemas.openxmlformats.org/officeDocument/2006/relationships/hyperlink" Target="https://naneshhospital.com/" TargetMode="External"/><Relationship Id="rId149" Type="http://schemas.openxmlformats.org/officeDocument/2006/relationships/hyperlink" Target="https://www.google.com/maps/place/Dr.Kamlesh+Giri+%28+Dr.Giri%27s+Multispeciality+Homeopathic+Clinic+,Nerul+Branch+%29/data=!4m7!3m6!1s0x3be7c3bf32a5c74b:0x93bad37407fa5af!8m2!3d19.027531!4d73.0226!16s%2Fg%2F11c74ymgxy!19sChIJS8elMr_D5zsRr6V_QDetOwk?authuser=0&amp;hl=en&amp;rclk=1" TargetMode="External"/><Relationship Id="rId4" Type="http://schemas.openxmlformats.org/officeDocument/2006/relationships/hyperlink" Target="https://www.instagram.com/naneshhospital" TargetMode="External"/><Relationship Id="rId148" Type="http://schemas.openxmlformats.org/officeDocument/2006/relationships/hyperlink" Target="http://www.drkamleshgiri.com/" TargetMode="External"/><Relationship Id="rId9" Type="http://schemas.openxmlformats.org/officeDocument/2006/relationships/hyperlink" Target="https://www.google.com/maps/place/Anand+Clinic/data=!4m7!3m6!1s0x3be7c3c303802b3d:0x286a0ce386758130!8m2!3d19.038677!4d73.0197082!16s%2Fg%2F11bw4jpygq!19sChIJPSuAA8PD5zsRMIF1huMMaig?authuser=0&amp;hl=en&amp;rclk=1" TargetMode="External"/><Relationship Id="rId143" Type="http://schemas.openxmlformats.org/officeDocument/2006/relationships/hyperlink" Target="https://www.google.com/maps/place/Dr.+Waghela%27s+ENT+and+Endoscopy+Clinic/data=!4m7!3m6!1s0x3be7c219f60ed645:0xc9edf24c3477faca!8m2!3d19.046816!4d73.069984!16s%2Fg%2F11f08yk6qr!19sChIJRdYO9hnC5zsRyvp3NEzy7ck?authuser=0&amp;hl=en&amp;rclk=1" TargetMode="External"/><Relationship Id="rId142" Type="http://schemas.openxmlformats.org/officeDocument/2006/relationships/hyperlink" Target="http://entnavimumbai.in/" TargetMode="External"/><Relationship Id="rId141" Type="http://schemas.openxmlformats.org/officeDocument/2006/relationships/hyperlink" Target="https://www.google.com/maps/place/Dr.+Veeral+Aliporewala/data=!4m7!3m6!1s0x3be7c399471d2bc7:0xfcf2f07f1e421a6e!8m2!3d19.0135779!4d73.011015!16s%2Fg%2F11fp47mwrk!19sChIJxysdR5nD5zsRbhpCHn_w8vw?authuser=0&amp;hl=en&amp;rclk=1" TargetMode="External"/><Relationship Id="rId140" Type="http://schemas.openxmlformats.org/officeDocument/2006/relationships/hyperlink" Target="https://www.google.com/maps/place/Dr.+Vaidehi+Kulkarni/data=!4m7!3m6!1s0x3be7c3aad330f82d:0xe317bc62a35333a4!8m2!3d19.025588!4d73.0177972!16s%2Fg%2F11q96lk3n8!19sChIJLfgw06rD5zsRpDNTo2K8F-M?authuser=0&amp;hl=en&amp;rclk=1" TargetMode="External"/><Relationship Id="rId5" Type="http://schemas.openxmlformats.org/officeDocument/2006/relationships/hyperlink" Target="https://www.google.com/maps/place/Acharya+Shri+Nanesh+Hospital/data=!4m7!3m6!1s0x3be7c23539fec13b:0xd98d02fabb970045!8m2!3d19.033325!4d73.041195!16s%2Fg%2F12cpldkhr!19sChIJO8H-OTXC5zsRRQCXu_oCjdk?authuser=0&amp;hl=en&amp;rclk=1" TargetMode="External"/><Relationship Id="rId147" Type="http://schemas.openxmlformats.org/officeDocument/2006/relationships/hyperlink" Target="https://www.google.com/maps/place/Dr.Garje+Ayurved+Clinic+%26+Panchakarma+Centre/data=!4m7!3m6!1s0x3be7c3c1e2cd4725:0xe3749dd4caa1bd0a!8m2!3d19.0343512!4d73.0169596!16s%2Fg%2F1hc8421c4!19sChIJJUfN4sHD5zsRCr2hytSddOM?authuser=0&amp;hl=en&amp;rclk=1" TargetMode="External"/><Relationship Id="rId6" Type="http://schemas.openxmlformats.org/officeDocument/2006/relationships/hyperlink" Target="https://drnevinaabraham.getmy.clinic/" TargetMode="External"/><Relationship Id="rId146" Type="http://schemas.openxmlformats.org/officeDocument/2006/relationships/hyperlink" Target="https://www.instagram.com/drgarjeayurved" TargetMode="External"/><Relationship Id="rId7" Type="http://schemas.openxmlformats.org/officeDocument/2006/relationships/hyperlink" Target="https://www.instagram.com/dr.nevin.abraham" TargetMode="External"/><Relationship Id="rId145" Type="http://schemas.openxmlformats.org/officeDocument/2006/relationships/hyperlink" Target="https://www.drgarjeayurved.com/" TargetMode="External"/><Relationship Id="rId8" Type="http://schemas.openxmlformats.org/officeDocument/2006/relationships/hyperlink" Target="https://www.google.com/maps/place/Alpha+Dental+Clinic/data=!4m7!3m6!1s0x3be7c3bd7981ef7d:0x45908abf3f22a486!8m2!3d19.0202786!4d73.0173018!16s%2Fg%2F11gcmmc1lr!19sChIJfe-Beb3D5zsRhqQiP7-KkEU?authuser=0&amp;hl=en&amp;rclk=1" TargetMode="External"/><Relationship Id="rId144" Type="http://schemas.openxmlformats.org/officeDocument/2006/relationships/hyperlink" Target="https://www.google.com/maps/place/Dr.Chitra%27s+BellaDerma/data=!4m7!3m6!1s0x3be7c3f2fe429b63:0xfcbeea04dc4c9309!8m2!3d19.0297471!4d73.025239!16s%2Fg%2F11r_w828f0!19sChIJY5tC_vLD5zsRCZNM3ATqvvw?authuser=0&amp;hl=en&amp;rclk=1" TargetMode="External"/><Relationship Id="rId73" Type="http://schemas.openxmlformats.org/officeDocument/2006/relationships/hyperlink" Target="https://www.drmaheshghogare.com/" TargetMode="External"/><Relationship Id="rId72" Type="http://schemas.openxmlformats.org/officeDocument/2006/relationships/hyperlink" Target="https://www.google.com/maps/place/Dr+Madhav+Dawkore+%E2%80%93+Pulmonologist+%26+Allergy+Specialist+Navi+mumbai/data=!4m7!3m6!1s0x3be7c38546bb6453:0x67973f0a6aee839d!8m2!3d19.0505159!4d73.0161525!16s%2Fg%2F11t2t_f_pd!19sChIJU2S7RoXD5zsRnYPuago_l2c?authuser=0&amp;hl=en&amp;rclk=1" TargetMode="External"/><Relationship Id="rId75" Type="http://schemas.openxmlformats.org/officeDocument/2006/relationships/hyperlink" Target="https://www.google.com/maps/place/Dr+Modak%27s+Harmony+Homoeopathic+Clinic/data=!4m7!3m6!1s0x3be7c371d7cc6ab3:0x54f5a88bb02c46cd!8m2!3d19.0227311!4d73.0211799!16s%2Fg%2F11ghpzk27l!19sChIJs2rM13HD5zsRzUYssIuo9VQ?authuser=0&amp;hl=en&amp;rclk=1" TargetMode="External"/><Relationship Id="rId74" Type="http://schemas.openxmlformats.org/officeDocument/2006/relationships/hyperlink" Target="https://www.google.com/maps/place/Dr+Mahesh+Ghogare,+BEST+CARDIOLOGIST+in+Navi+Mumbai,+Interventional+Cardiologist+Navi+Mumbai,+TAVI+%2F+TAVR+in+Navi+Mumbai/data=!4m7!3m6!1s0x3be7c142b0000001:0x9289e16f76d9552c!8m2!3d19.0246581!4d73.0222576!16s%2Fg%2F11hbdqx50v!19sChIJAQAAsELB5zsRLFXZdm_hiZI?authuser=0&amp;hl=en&amp;rclk=1" TargetMode="External"/><Relationship Id="rId77" Type="http://schemas.openxmlformats.org/officeDocument/2006/relationships/hyperlink" Target="https://www.instagram.com/arogyabhet" TargetMode="External"/><Relationship Id="rId76" Type="http://schemas.openxmlformats.org/officeDocument/2006/relationships/hyperlink" Target="https://arogyabhet.com/" TargetMode="External"/><Relationship Id="rId79" Type="http://schemas.openxmlformats.org/officeDocument/2006/relationships/hyperlink" Target="https://www.google.com/maps/place/Dr+Omkar+Mate%27s+Midas+Clinic/data=!4m7!3m6!1s0x3be7c385d4d7de89:0x65fcbd4711f70a25!8m2!3d19.0332773!4d73.0180734!16s%2Fg%2F11gmg60rsv!19sChIJid7X1IXD5zsRJQr3EUe9_GU?authuser=0&amp;hl=en&amp;rclk=1" TargetMode="External"/><Relationship Id="rId78" Type="http://schemas.openxmlformats.org/officeDocument/2006/relationships/hyperlink" Target="https://www.google.com/maps/place/Dr+Nagarekar+Atharva+Ayurveda+clinic/data=!4m7!3m6!1s0x3be7c34e2ebae60b:0xf2affcd51305bbe6!8m2!3d19.0403047!4d73.0152992!16s%2Fg%2F11h08dmsz8!19sChIJC-a6Lk7D5zsR5rsFE9X8r_I?authuser=0&amp;hl=en&amp;rclk=1" TargetMode="External"/><Relationship Id="rId71" Type="http://schemas.openxmlformats.org/officeDocument/2006/relationships/hyperlink" Target="https://onehealthclinicmumbai.com/" TargetMode="External"/><Relationship Id="rId70" Type="http://schemas.openxmlformats.org/officeDocument/2006/relationships/hyperlink" Target="https://www.google.com/maps/place/Dr+Karve%27s+Dentech/data=!4m7!3m6!1s0x3be7c7e6674bdb77:0x5a92f706cb9de866!8m2!3d19.118699!4d72.916476!16s%2Fg%2F11clyc21yl!19sChIJd9tLZ-bH5zsRZuidywb3klo?authuser=0&amp;hl=en&amp;rclk=1" TargetMode="External"/><Relationship Id="rId139" Type="http://schemas.openxmlformats.org/officeDocument/2006/relationships/hyperlink" Target="https://www.google.com/maps/place/Dr.+Sonal+Bansal-+Orthopedic+Doctor+-+Nerul+Navi+Mumbai/data=!4m7!3m6!1s0x3be7c3c3ffffff97:0xd82ee1a7e3b2579!8m2!3d19.0274177!4d73.023155!16s%2Fg%2F11cmcyw79m!19sChIJl____8PD5zsReSU7fhrugg0?authuser=0&amp;hl=en&amp;rclk=1" TargetMode="External"/><Relationship Id="rId138" Type="http://schemas.openxmlformats.org/officeDocument/2006/relationships/hyperlink" Target="https://www.instagram.com/drsonalbansal" TargetMode="External"/><Relationship Id="rId137" Type="http://schemas.openxmlformats.org/officeDocument/2006/relationships/hyperlink" Target="https://www.drsbansal.com/" TargetMode="External"/><Relationship Id="rId258" Type="http://schemas.openxmlformats.org/officeDocument/2006/relationships/drawing" Target="../drawings/drawing4.xml"/><Relationship Id="rId132" Type="http://schemas.openxmlformats.org/officeDocument/2006/relationships/hyperlink" Target="https://www.instagram.com/drshalindubey" TargetMode="External"/><Relationship Id="rId253" Type="http://schemas.openxmlformats.org/officeDocument/2006/relationships/hyperlink" Target="https://vlcc.com/clinics/beauty-wellness-clinic-seawoods,-navi-mumbai/264" TargetMode="External"/><Relationship Id="rId131" Type="http://schemas.openxmlformats.org/officeDocument/2006/relationships/hyperlink" Target="https://www.drshalindubey.com/" TargetMode="External"/><Relationship Id="rId252" Type="http://schemas.openxmlformats.org/officeDocument/2006/relationships/hyperlink" Target="https://www.google.com/maps/place/UpSkin+Aesthetic+Clinic+by+Dr+Juilee/data=!4m7!3m6!1s0x3be7c371cb59c8e1:0x6e76fbd63c92c80f!8m2!3d19.0331154!4d73.0186739!16s%2Fg%2F11x999c_7_!19sChIJ4chZy3HD5zsRD8iSPNb7dm4?authuser=0&amp;hl=en&amp;rclk=1" TargetMode="External"/><Relationship Id="rId130" Type="http://schemas.openxmlformats.org/officeDocument/2006/relationships/hyperlink" Target="https://www.google.com/maps/place/Dr.+Sanita%27s+Ananya+Women%27s+Clinic,+Best+Obstetrician+%26+Gynaecologist+in+Seawoods,+Navi+Mumbai+%7C+Maternity+%7C+Abortion+Clinic/data=!4m7!3m6!1s0x3be7c3abdfdd49c3:0x90063f53beb57217!8m2!3d19.0119188!4d73.0234878!16s%2Fg%2F11rg6xnq__!19sChIJw0nd36vD5zsRF3K1vlM_BpA?authuser=0&amp;hl=en&amp;rclk=1" TargetMode="External"/><Relationship Id="rId251" Type="http://schemas.openxmlformats.org/officeDocument/2006/relationships/hyperlink" Target="https://www.google.com/maps/place/Twacham+skin+clinic/data=!4m7!3m6!1s0x3be7c3261be1f0a9:0x57f040aac47d1323!8m2!3d19.0325195!4d73.0165992!16s%2Fg%2F11p0zbt431!19sChIJqfDhGybD5zsRIxN9xKpA8Fc?authuser=0&amp;hl=en&amp;rclk=1" TargetMode="External"/><Relationship Id="rId250" Type="http://schemas.openxmlformats.org/officeDocument/2006/relationships/hyperlink" Target="https://www.google.com/maps/place/The+Good+Health+Homeopathy+Clinic/data=!4m7!3m6!1s0x3be7c2199eb225bb:0xc3db31d85f876d60!8m2!3d19.0482358!4d73.0689068!16s%2Fg%2F11bwqp28zd!19sChIJuyWynhnC5zsRYG2HX9gx28M?authuser=0&amp;hl=en&amp;rclk=1" TargetMode="External"/><Relationship Id="rId136" Type="http://schemas.openxmlformats.org/officeDocument/2006/relationships/hyperlink" Target="https://www.google.com/maps/place/Dr.+Shraddha+Patil+-+PHYSIOTHERAPY+CLINIC+in+Belapur,+Navi+Mumbai,+Best+Physiotherapist+in+Seawoods,+Nerul,+Navi+Mumbai/data=!4m7!3m6!1s0x3be7c326a9de510f:0xaaa49ab28cdc4da8!8m2!3d19.0302065!4d73.0429263!16s%2Fg%2F11rv8051gh!19sChIJD1HeqSbD5zsRqE3cjLKapKo?authuser=0&amp;hl=en&amp;rclk=1" TargetMode="External"/><Relationship Id="rId257" Type="http://schemas.openxmlformats.org/officeDocument/2006/relationships/hyperlink" Target="https://www.google.com/maps/place/Vyana+Skin+Clinic+and+Yoga+Center+%28Navi+Mumbai%29/data=!4m7!3m6!1s0x3be7c3997d07c021:0xb37297c118b5ff4d!8m2!3d19.01372!4d73.0112652!16s%2Fg%2F11hbvp_rn3!19sChIJIcAHfZnD5zsRTf-1GMGXcrM?authuser=0&amp;hl=en&amp;rclk=1" TargetMode="External"/><Relationship Id="rId135" Type="http://schemas.openxmlformats.org/officeDocument/2006/relationships/hyperlink" Target="https://www.instagram.com/drshraddhapatil" TargetMode="External"/><Relationship Id="rId256" Type="http://schemas.openxmlformats.org/officeDocument/2006/relationships/hyperlink" Target="https://www.instagram.com/vlccindia" TargetMode="External"/><Relationship Id="rId134" Type="http://schemas.openxmlformats.org/officeDocument/2006/relationships/hyperlink" Target="https://www.drshraddhapatil.com/" TargetMode="External"/><Relationship Id="rId255" Type="http://schemas.openxmlformats.org/officeDocument/2006/relationships/hyperlink" Target="https://www.google.com/maps/place/VLCC+Beauty+Clinic+%28Seawoods,+Navi+Mumbai+%29/data=!4m7!3m6!1s0x3be7c3f7cf111ec3:0x7484d41426c46d69!8m2!3d19.0119712!4d73.012314!16s%2Fg%2F11wg26f58z!19sChIJwx4Rz_fD5zsRaW3EJhTUhHQ?authuser=0&amp;hl=en&amp;rclk=1" TargetMode="External"/><Relationship Id="rId133" Type="http://schemas.openxmlformats.org/officeDocument/2006/relationships/hyperlink" Target="https://www.google.com/maps/place/Dr.+Shalin+Dubey,+Robotic+%26+Laparoscopic+Surgeon/data=!4m7!3m6!1s0x3be7c3b75c7e461f:0xf4ccfaf00a176c3a!8m2!3d19.0237437!4d73.0277338!16s%2Fg%2F11gfdbl3_z!19sChIJH0Z-XLfD5zsROmwXCvD6zPQ?authuser=0&amp;hl=en&amp;rclk=1" TargetMode="External"/><Relationship Id="rId254" Type="http://schemas.openxmlformats.org/officeDocument/2006/relationships/hyperlink" Target="https://www.instagram.com/vlccindia" TargetMode="External"/><Relationship Id="rId62" Type="http://schemas.openxmlformats.org/officeDocument/2006/relationships/hyperlink" Target="https://www.google.com/maps/place/Dr+Chandan+Saha+MBBS+Clinic/data=!4m7!3m6!1s0x3be7c346e855170b:0x91ca99af8cacdbea!8m2!3d19.0401059!4d73.0176641!16s%2Fg%2F11c2qpjp0n!19sChIJCxdV6EbD5zsR6tusjK-ZypE?authuser=0&amp;hl=en&amp;rclk=1" TargetMode="External"/><Relationship Id="rId61" Type="http://schemas.openxmlformats.org/officeDocument/2006/relationships/hyperlink" Target="https://www.google.com/maps/place/Dr+Batra%E2%80%99s+Homeopathy+Clinic/data=!4m7!3m6!1s0x3be7c3c0c782483b:0xe0a102e770fe4288!8m2!3d19.0310537!4d73.0217795!16s%2Fg%2F12hr5cmft!19sChIJO0iCx8DD5zsRiEL-cOcCoeA?authuser=0&amp;hl=en&amp;rclk=1" TargetMode="External"/><Relationship Id="rId64" Type="http://schemas.openxmlformats.org/officeDocument/2006/relationships/hyperlink" Target="https://www.instagram.com/myheartclinics" TargetMode="External"/><Relationship Id="rId63" Type="http://schemas.openxmlformats.org/officeDocument/2006/relationships/hyperlink" Target="https://myheartclinics.com/index.php" TargetMode="External"/><Relationship Id="rId66" Type="http://schemas.openxmlformats.org/officeDocument/2006/relationships/hyperlink" Target="https://www.drjairajshospital.com/" TargetMode="External"/><Relationship Id="rId172" Type="http://schemas.openxmlformats.org/officeDocument/2006/relationships/hyperlink" Target="https://www.instagram.com/kokilabenhospital" TargetMode="External"/><Relationship Id="rId65" Type="http://schemas.openxmlformats.org/officeDocument/2006/relationships/hyperlink" Target="https://www.google.com/maps/place/Dr+Ghogare%27s/data=!4m7!3m6!1s0x3be7c331998fcdeb:0xfd98877b283a9f5e!8m2!3d19.0250148!4d73.0223871!16s%2Fg%2F11h54x3yfp!19sChIJ682PmTHD5zsRXp86KHuHmP0?authuser=0&amp;hl=en&amp;rclk=1" TargetMode="External"/><Relationship Id="rId171" Type="http://schemas.openxmlformats.org/officeDocument/2006/relationships/hyperlink" Target="https://navimumbai.kokilabenhospital.com/" TargetMode="External"/><Relationship Id="rId68" Type="http://schemas.openxmlformats.org/officeDocument/2006/relationships/hyperlink" Target="https://www.google.com/aclk?sa=L&amp;ai=DChsSEwjY_q3l5-OVAxXQhWYCHQ6GN9gYACICCAEQAhoCc20&amp;co=1&amp;ase=2&amp;gclid=CjwKCAjwsfzSBhB5EiwAOGyqScQrE05nG84DLc6zM3CT0ECLsZPDstKPGssFpOVH50_pSqQpix5jAhoChTMQAvD_BwE&amp;cid=CAAS0wHkaODk9ymShb7Z04lLS_EqdAKOIqLvKgwP3mO86X-_OoEctsv_3FXuaO1jDMNEWv3ZsaacnGcrt3-Gk9imYYv-lk92yoUBAhtU8PsekzJBlAcZE8JTqhMW1Ri9Cl8dHX-gS3iC_vEu4pE8Qq8PN2F0G6O-BdR69zntuUt_QyuM0pZpzrowL4N7RY81oVfCfQwMZtlimOTZSr3hT68g3tlzJ1EG1uxxVNJ8VFlXM33Q9zVdiCzEtCisPeXeyNbjergk15jhHrFRWSXY4aUocK8OraEc&amp;cce=2&amp;category=acrcp_v1_32&amp;sig=AOD64_2DBhIsv40g5AAZmcura5Ue0IhxNw&amp;adurl&amp;q&amp;ctype=99&amp;nis=6" TargetMode="External"/><Relationship Id="rId170" Type="http://schemas.openxmlformats.org/officeDocument/2006/relationships/hyperlink" Target="https://www.google.com/maps/place/Kids+Clinic/data=!4m7!3m6!1s0x3be7c3bfc1f5506d:0x1f7ed60cc3af128!8m2!3d19.0240321!4d73.0178303!16s%2Fg%2F1pp2txs04!19sChIJbVD1wb_D5zsRKPE6zGDt9wE?authuser=0&amp;hl=en&amp;rclk=1" TargetMode="External"/><Relationship Id="rId67" Type="http://schemas.openxmlformats.org/officeDocument/2006/relationships/hyperlink" Target="https://www.google.com/maps/place/Dr+Jairajs+Hospital/data=!4m7!3m6!1s0x3be7c3ad73247343:0x7957b177cdfbb2a9!8m2!3d19.0252216!4d73.041946!16s%2Fg%2F1tg_dh_c!19sChIJQ3Mkc63D5zsRqbL7zXexV3k?authuser=0&amp;hl=en&amp;rclk=1" TargetMode="External"/><Relationship Id="rId60" Type="http://schemas.openxmlformats.org/officeDocument/2006/relationships/hyperlink" Target="https://www.instagram.com/drbatrashealthcare" TargetMode="External"/><Relationship Id="rId165" Type="http://schemas.openxmlformats.org/officeDocument/2006/relationships/hyperlink" Target="https://www.google.com/maps/place/Hridaya+Navjeevanlaya+Clinic+%7C+Dr+Bhasker+Semitha+%7C+CVTS+Surgeon+%7CNerul+East,+Navi+Mumbai/data=!4m7!3m6!1s0x3be7c3fe31da7e97:0xbdfafc351fa089d4!8m2!3d19.0378034!4d73.0189377!16s%2Fg%2F11js9tf2pb!19sChIJl37aMf7D5zsR1ImgHzX8-r0?authuser=0&amp;hl=en&amp;rclk=1" TargetMode="External"/><Relationship Id="rId69" Type="http://schemas.openxmlformats.org/officeDocument/2006/relationships/hyperlink" Target="https://www.instagram.com/drbatrashealthcare" TargetMode="External"/><Relationship Id="rId164" Type="http://schemas.openxmlformats.org/officeDocument/2006/relationships/hyperlink" Target="https://www.instagram.com/hridayanavjeevanalaya" TargetMode="External"/><Relationship Id="rId163" Type="http://schemas.openxmlformats.org/officeDocument/2006/relationships/hyperlink" Target="https://hridayanavjeevanalaya.com/" TargetMode="External"/><Relationship Id="rId162" Type="http://schemas.openxmlformats.org/officeDocument/2006/relationships/hyperlink" Target="https://www.google.com/maps/place/Health+Care+Clinic/data=!4m7!3m6!1s0x3be7c3bc27753c85:0x6cfb8c05c28a9fb3!8m2!3d19.0245599!4d73.0197486!16s%2Fg%2F1pp2txp0_!19sChIJhTx1J7zD5zsRs5-KwgWM-2w?authuser=0&amp;hl=en&amp;rclk=1" TargetMode="External"/><Relationship Id="rId169" Type="http://schemas.openxmlformats.org/officeDocument/2006/relationships/hyperlink" Target="https://www.google.com/maps/place/Jalphama+Clinic+%28+Dr.+Bhanushali%29/data=!4m7!3m6!1s0x3be7c3c7911986eb:0x74e823347d80b11d!8m2!3d19.031161!4d73.026728!16s%2Fg%2F1pv2l2tyb!19sChIJ64YZkcfD5zsRHbGAfTQj6HQ?authuser=0&amp;hl=en&amp;rclk=1" TargetMode="External"/><Relationship Id="rId168" Type="http://schemas.openxmlformats.org/officeDocument/2006/relationships/hyperlink" Target="https://www.google.com/maps/place/Ivory+Physiotherapy+Clinic+Nerul+Navi+Mumbai/data=!4m7!3m6!1s0x3be7c357181be0f9:0x43273c8f83a0f300!8m2!3d19.0110622!4d73.013619!16s%2Fg%2F11t5dxshjk!19sChIJ-eAbGFfD5zsRAPOgg488J0M?authuser=0&amp;hl=en&amp;rclk=1" TargetMode="External"/><Relationship Id="rId167" Type="http://schemas.openxmlformats.org/officeDocument/2006/relationships/hyperlink" Target="https://www.instagram.com/ivoryphysiotherapy" TargetMode="External"/><Relationship Id="rId166" Type="http://schemas.openxmlformats.org/officeDocument/2006/relationships/hyperlink" Target="https://ivoryphysiotherapy.in/" TargetMode="External"/><Relationship Id="rId51" Type="http://schemas.openxmlformats.org/officeDocument/2006/relationships/hyperlink" Target="https://www.instagram.com/dypatilhospital" TargetMode="External"/><Relationship Id="rId50" Type="http://schemas.openxmlformats.org/officeDocument/2006/relationships/hyperlink" Target="https://dypatilhospitals.com/" TargetMode="External"/><Relationship Id="rId53" Type="http://schemas.openxmlformats.org/officeDocument/2006/relationships/hyperlink" Target="http://dentalpulseclinic.com/" TargetMode="External"/><Relationship Id="rId52" Type="http://schemas.openxmlformats.org/officeDocument/2006/relationships/hyperlink" Target="https://www.google.com/maps/place/D+Y+Patil+Hospital/data=!4m7!3m6!1s0x3be7c618a5555555:0xa446b85191e625c8!8m2!3d19.0411561!4d73.0246854!16s%2Fg%2F11csrv8x53!19sChIJVVVVpRjG5zsRyCXmkVG4RqQ?authuser=0&amp;hl=en&amp;rclk=1" TargetMode="External"/><Relationship Id="rId55" Type="http://schemas.openxmlformats.org/officeDocument/2006/relationships/hyperlink" Target="https://www.google.com/maps/place/Dermed+Clinic/data=!4m7!3m6!1s0x3be7c397bee9aa87:0xed9c3ab75bb93e8c!8m2!3d19.0182874!4d73.0123738!16s%2Fg%2F11c5zxh3vr!19sChIJh6rpvpfD5zsRjD65W7c6nO0?authuser=0&amp;hl=en&amp;rclk=1" TargetMode="External"/><Relationship Id="rId161" Type="http://schemas.openxmlformats.org/officeDocument/2006/relationships/hyperlink" Target="https://www.google.com/maps/place/Family+Health+Clinic/data=!4m7!3m6!1s0x3be7c3751b6a4f49:0x64c685205b2a7c4c!8m2!3d19.0311396!4d73.0268152!16s%2Fg%2F11t6n7_wh9!19sChIJSU9qG3XD5zsRTHwqWyCFxmQ?authuser=0&amp;hl=en&amp;rclk=1" TargetMode="External"/><Relationship Id="rId54" Type="http://schemas.openxmlformats.org/officeDocument/2006/relationships/hyperlink" Target="https://www.google.com/maps/place/Dental+Pulse+Clinic/data=!4m7!3m6!1s0x3be7c3c0e2af0db3:0x5ae99b51c2d5444!8m2!3d19.0309791!4d73.0217513!16s%2Fg%2F11df80zt_8!19sChIJsw2v4sDD5zsRRFQtHLWZrgU?authuser=0&amp;hl=en&amp;rclk=1" TargetMode="External"/><Relationship Id="rId160" Type="http://schemas.openxmlformats.org/officeDocument/2006/relationships/hyperlink" Target="https://www.google.com/maps/place/Family+Care+Clinic+Nerul+Navi+Mumbai/data=!4m7!3m6!1s0x3be7c3c934900977:0x57d39a810a8d346!8m2!3d19.0396026!4d73.017636!16s%2Fg%2F11vm7jbkdb!19sChIJdwmQNMnD5zsRRtOoEKg5fQU?authuser=0&amp;hl=en&amp;rclk=1" TargetMode="External"/><Relationship Id="rId57" Type="http://schemas.openxmlformats.org/officeDocument/2006/relationships/hyperlink" Target="https://www.instagram.com/drashwathyharidas" TargetMode="External"/><Relationship Id="rId56" Type="http://schemas.openxmlformats.org/officeDocument/2006/relationships/hyperlink" Target="https://drashwathyharidas.com/" TargetMode="External"/><Relationship Id="rId159" Type="http://schemas.openxmlformats.org/officeDocument/2006/relationships/hyperlink" Target="https://www.google.com/maps/place/Echelon+Hospital/data=!4m7!3m6!1s0x3be7c0ce2ed4c9cf:0x6f5fc27430527124!8m2!3d19.1085005!4d73.0017709!16s%2Fg%2F1thk764z!19sChIJz8nULs7A5zsRJHFSMHTCX28?authuser=0&amp;hl=en&amp;rclk=1" TargetMode="External"/><Relationship Id="rId59" Type="http://schemas.openxmlformats.org/officeDocument/2006/relationships/hyperlink" Target="https://clinics.drbatras.com/navi-mumbai/homeopathy-clinic-sector-21" TargetMode="External"/><Relationship Id="rId154" Type="http://schemas.openxmlformats.org/officeDocument/2006/relationships/hyperlink" Target="https://dypatilhealthcare.com/" TargetMode="External"/><Relationship Id="rId58" Type="http://schemas.openxmlformats.org/officeDocument/2006/relationships/hyperlink" Target="https://www.google.com/maps/place/Dr+Ashwathy+Haridas+%7C+Kidney+and+Hypertension+Clinic+%7C+Best+Nephrologist+In+Navi+Mumbai/data=!4m7!3m6!1s0x3be7c3bed8600a5f:0x62b29724444747d8!8m2!3d19.0131344!4d73.012722!16s%2Fg%2F11s3zl3vxw!19sChIJXwpg2L7D5zsR2EdHRCSXsmI?authuser=0&amp;hl=en&amp;rclk=1" TargetMode="External"/><Relationship Id="rId153" Type="http://schemas.openxmlformats.org/officeDocument/2006/relationships/hyperlink" Target="https://www.google.com/maps/place/Dr.Shende+Homoeopathic+Clinic/data=!4m7!3m6!1s0x3be7c3c232d64ab7:0x984a5ae1573b328a!8m2!3d19.0364007!4d73.0200049!16s%2Fg%2F11cmdfj53y!19sChIJt0rWMsLD5zsRijI7V-FaSpg?authuser=0&amp;hl=en&amp;rclk=1" TargetMode="External"/><Relationship Id="rId152" Type="http://schemas.openxmlformats.org/officeDocument/2006/relationships/hyperlink" Target="https://www.google.com/maps/place/Dr.Rahul+Jagtap+%7C+Orthopedic+Surgeon+in+Navi+Mumbai+%7C+Platinum+Ortho+Clinic/data=!4m7!3m6!1s0x3be7c3c0a358b65f:0x47129d144b2b87e7!8m2!3d19.0297274!4d73.0254862!16s%2Fg%2F11mlfzq0tt!19sChIJX7ZYo8DD5zsR54crSxSdEkc?authuser=0&amp;hl=en&amp;rclk=1" TargetMode="External"/><Relationship Id="rId151" Type="http://schemas.openxmlformats.org/officeDocument/2006/relationships/hyperlink" Target="https://www.instagram.com/drrahulorthocare" TargetMode="External"/><Relationship Id="rId158" Type="http://schemas.openxmlformats.org/officeDocument/2006/relationships/hyperlink" Target="https://www.instagram.com/echelonhospital" TargetMode="External"/><Relationship Id="rId157" Type="http://schemas.openxmlformats.org/officeDocument/2006/relationships/hyperlink" Target="https://www.echelonhospital.com/" TargetMode="External"/><Relationship Id="rId156" Type="http://schemas.openxmlformats.org/officeDocument/2006/relationships/hyperlink" Target="https://www.google.com/maps/place/DY+Patil+Healthcare/data=!4m7!3m6!1s0x3be7c3db45555555:0xc0630db5ea0b5ed!8m2!3d19.0409427!4d73.0245966!16s%2Fg%2F11fnp9gd3f!19sChIJVVVVRdvD5zsR7bWgXtswBgw?authuser=0&amp;hl=en&amp;rclk=1" TargetMode="External"/><Relationship Id="rId155" Type="http://schemas.openxmlformats.org/officeDocument/2006/relationships/hyperlink" Target="https://www.instagram.com/dypatilhealthcare" TargetMode="External"/><Relationship Id="rId107" Type="http://schemas.openxmlformats.org/officeDocument/2006/relationships/hyperlink" Target="https://www.drjanugades.com/" TargetMode="External"/><Relationship Id="rId228" Type="http://schemas.openxmlformats.org/officeDocument/2006/relationships/hyperlink" Target="https://www.instagram.com/skinsoulindia" TargetMode="External"/><Relationship Id="rId106" Type="http://schemas.openxmlformats.org/officeDocument/2006/relationships/hyperlink" Target="https://www.google.com/maps/place/Dr.+Jain%27s+Dental+%26+Health+Studio/data=!4m7!3m6!1s0x3be7c127bcb832fd:0xf0f9e04a5796e469!8m2!3d19.0956067!4d73.0073283!16s%2Fg%2F11d_9d67l2!19sChIJ_TK4vCfB5zsRaeSWV0rg-fA?authuser=0&amp;hl=en&amp;rclk=1" TargetMode="External"/><Relationship Id="rId227" Type="http://schemas.openxmlformats.org/officeDocument/2006/relationships/hyperlink" Target="https://www.skinsoul.in/" TargetMode="External"/><Relationship Id="rId105" Type="http://schemas.openxmlformats.org/officeDocument/2006/relationships/hyperlink" Target="https://www.instagram.com/drjainsdentalstudio" TargetMode="External"/><Relationship Id="rId226" Type="http://schemas.openxmlformats.org/officeDocument/2006/relationships/hyperlink" Target="https://www.google.com/maps/place/Skin+Science+Clinic/data=!4m7!3m6!1s0x3be7c36b1840cb01:0xe12325ea03317617!8m2!3d19.0241021!4d73.0210187!16s%2Fg%2F11t4276g1s!19sChIJActAGGvD5zsRF3YxA-olI-E?authuser=0&amp;hl=en&amp;rclk=1" TargetMode="External"/><Relationship Id="rId104" Type="http://schemas.openxmlformats.org/officeDocument/2006/relationships/hyperlink" Target="https://drjainsdentalstudio.com/" TargetMode="External"/><Relationship Id="rId225" Type="http://schemas.openxmlformats.org/officeDocument/2006/relationships/hyperlink" Target="https://www.instagram.com/skinsciencemumbai" TargetMode="External"/><Relationship Id="rId109" Type="http://schemas.openxmlformats.org/officeDocument/2006/relationships/hyperlink" Target="https://www.drkalpeshmande.com/" TargetMode="External"/><Relationship Id="rId108" Type="http://schemas.openxmlformats.org/officeDocument/2006/relationships/hyperlink" Target="https://www.google.com/maps/place/Dr.+Janugade%E2%80%99s+Ayurveda/data=!4m7!3m6!1s0x3be7c12f3ddcfffb:0x5a4c2617fe33ba6a!8m2!3d19.0907804!4d73.0051462!16s%2Fg%2F1tgdm0j9!19sChIJ-__cPS_B5zsRaroz_hcmTFo?authuser=0&amp;hl=en&amp;rclk=1" TargetMode="External"/><Relationship Id="rId229" Type="http://schemas.openxmlformats.org/officeDocument/2006/relationships/hyperlink" Target="https://www.google.com/maps/place/Skin+Soul+-+Laser+hair+reduction+in+Navi+Mumbai,+ChemicalPeeling,+Hydra-facial+in+Navi+Mumbai,+Botox+treatment+in+Navi+Mumbai/data=!4m7!3m6!1s0x3be7c14a46874ead:0xffde2beb7bdfa747!8m2!3d19.0442387!4d73.009609!16s%2Fg%2F11fzbjjzkx!19sChIJrU6HRkrB5zsRR6ffe-sr3v8?authuser=0&amp;hl=en&amp;rclk=1" TargetMode="External"/><Relationship Id="rId220" Type="http://schemas.openxmlformats.org/officeDocument/2006/relationships/hyperlink" Target="https://www.google.com/maps/place/SHIFA+CLINIC+%26+HIJAMA+CENTER+%28DR+MOHD+ALIM%29/data=!4m7!3m6!1s0x3be7c3c395231817:0x9d389d4e4eeb3d10!8m2!3d19.036286!4d73.0214383!16s%2Fg%2F11tcwlhwgn!19sChIJFxgjlcPD5zsRED3rTk6dOJ0?authuser=0&amp;hl=en&amp;rclk=1" TargetMode="External"/><Relationship Id="rId103" Type="http://schemas.openxmlformats.org/officeDocument/2006/relationships/hyperlink" Target="https://www.google.com/maps/place/Dr.+Divyashree+Infectious+Diseases+%26+Vaccination+Clinic+in+Nerul,+Navi+Mumbai/data=!4m7!3m6!1s0x3be7c37cc6529ced:0x7d955bb3f3d793cf!8m2!3d19.0237908!4d73.0227001!16s%2Fg%2F11z8symppq!19sChIJ7ZxSxnzD5zsRz5PX87NblX0?authuser=0&amp;hl=en&amp;rclk=1" TargetMode="External"/><Relationship Id="rId224" Type="http://schemas.openxmlformats.org/officeDocument/2006/relationships/hyperlink" Target="https://skinsciencemumbai.com/" TargetMode="External"/><Relationship Id="rId102" Type="http://schemas.openxmlformats.org/officeDocument/2006/relationships/hyperlink" Target="https://www.instagram.com/divyashreeidclinic" TargetMode="External"/><Relationship Id="rId223" Type="http://schemas.openxmlformats.org/officeDocument/2006/relationships/hyperlink" Target="https://www.google.com/maps/place/Shree+Sai+clinic/data=!4m7!3m6!1s0x3be7c3aa18d8b603:0x50a27698e19091df!8m2!3d19.0326911!4d73.0230043!16s%2Fg%2F11smhcgpw7!19sChIJA7bYGKrD5zsR35GQ4Zh2olA?authuser=0&amp;hl=en&amp;rclk=1" TargetMode="External"/><Relationship Id="rId101" Type="http://schemas.openxmlformats.org/officeDocument/2006/relationships/hyperlink" Target="https://divyashreeidclinic.com/" TargetMode="External"/><Relationship Id="rId222" Type="http://schemas.openxmlformats.org/officeDocument/2006/relationships/hyperlink" Target="https://www.google.com/maps/place/Shree+Om+child+Clinic/data=!4m7!3m6!1s0x3be7c3782a01c23d:0x5c3aaa975a74713d!8m2!3d19.0298314!4d73.0254996!16s%2Fg%2F11rc4t9xsp!19sChIJPcIBKnjD5zsRPXF0WpeqOlw?authuser=0&amp;hl=en&amp;rclk=1" TargetMode="External"/><Relationship Id="rId100" Type="http://schemas.openxmlformats.org/officeDocument/2006/relationships/hyperlink" Target="https://www.google.com/maps/place/Dr.+Brajesh+Kumar+Kunwar+-+Best+Interventional+Cardiologist+in+Navi+Mumbai+%7C+Apollo+Hospitals/data=!4m7!3m6!1s0x3be7c3a055555515:0x3c3f37526a90656a!8m2!3d19.020638!4d73.0291831!16s%2Fg%2F11fz6v4bxx!19sChIJFVVVVaDD5zsRamWQalI3Pzw?authuser=0&amp;hl=en&amp;rclk=1" TargetMode="External"/><Relationship Id="rId221" Type="http://schemas.openxmlformats.org/officeDocument/2006/relationships/hyperlink" Target="https://www.google.com/maps/place/Shiv+Meera+Clinic/data=!4m7!3m6!1s0x3be7c115a60b1f59:0x7465c45bac4b130c!8m2!3d19.0787281!4d73.0190326!16s%2Fg%2F1pv19tryz!19sChIJWR8LphXB5zsRDBNLrFvEZXQ?authuser=0&amp;hl=en&amp;rclk=1" TargetMode="External"/><Relationship Id="rId217" Type="http://schemas.openxmlformats.org/officeDocument/2006/relationships/hyperlink" Target="https://saishraddhamotherandchildcarecenter.com/" TargetMode="External"/><Relationship Id="rId216" Type="http://schemas.openxmlformats.org/officeDocument/2006/relationships/hyperlink" Target="https://www.google.com/maps/place/Sai+Clinic/data=!4m7!3m6!1s0x3be7c3ea1fe82e29:0xcd08ba9e0de631df!8m2!3d19.0349762!4d73.0153322!16s%2Fg%2F1pp2tyy6x!19sChIJKS7oH-rD5zsR3zHmDZ66CM0?authuser=0&amp;hl=en&amp;rclk=1" TargetMode="External"/><Relationship Id="rId215" Type="http://schemas.openxmlformats.org/officeDocument/2006/relationships/hyperlink" Target="https://www.google.com/maps/place/Sabka+dentist/data=!4m7!3m6!1s0x3be7c3b8d37805c7:0x6e90345cc2fba1c6!8m2!3d19.0246836!4d73.0216118!16s%2Fg%2F1q675glcp!19sChIJxwV407jD5zsRxqH7wlw0kG4?authuser=0&amp;hl=en&amp;rclk=1" TargetMode="External"/><Relationship Id="rId214" Type="http://schemas.openxmlformats.org/officeDocument/2006/relationships/hyperlink" Target="https://www.instagram.com/sabkadentist" TargetMode="External"/><Relationship Id="rId219" Type="http://schemas.openxmlformats.org/officeDocument/2006/relationships/hyperlink" Target="https://www.google.com/maps/place/Sanjeevni+Clinic-+The+Family+Doctor/data=!4m7!3m6!1s0x3be7c1cea7b703fb:0x600191e4e76c7976!8m2!3d19.0390708!4d73.01777!16s%2Fg%2F11shj5hf25!19sChIJ-wO3p87B5zsRdnls5-SRAWA?authuser=0&amp;hl=en&amp;rclk=1" TargetMode="External"/><Relationship Id="rId218" Type="http://schemas.openxmlformats.org/officeDocument/2006/relationships/hyperlink" Target="https://www.google.com/maps/place/Sai+Shraddha+Mother+And+Child+Care+Clinic+-+Dr+Abhijit+Mhapankar/data=!4m7!3m6!1s0x3be7c3c287084589:0x24834ee60fb2a9a5!8m2!3d19.0301313!4d73.02502!16s%2Fg%2F11nfp5x8rq!19sChIJiUUIh8LD5zsRpamyD-ZOgyQ?authuser=0&amp;hl=en&amp;rclk=1" TargetMode="External"/><Relationship Id="rId213" Type="http://schemas.openxmlformats.org/officeDocument/2006/relationships/hyperlink" Target="https://www.sabkadentist.com/dental-clinics-in-navi-mumbai/nerul-east/" TargetMode="External"/><Relationship Id="rId212" Type="http://schemas.openxmlformats.org/officeDocument/2006/relationships/hyperlink" Target="https://www.google.com/maps/place/Roselle+Skin+Clinic/data=!4m7!3m6!1s0x3be7c3d3d69e366f:0xa86c4b8733e4ee99!8m2!3d19.037539!4d73.0189684!16s%2Fg%2F11yjn3xyt5!19sChIJbzae1tPD5zsRme7kM4dLbKg?authuser=0&amp;hl=en&amp;rclk=1" TargetMode="External"/><Relationship Id="rId211" Type="http://schemas.openxmlformats.org/officeDocument/2006/relationships/hyperlink" Target="https://www.instagram.com/roselleskinclinic" TargetMode="External"/><Relationship Id="rId210" Type="http://schemas.openxmlformats.org/officeDocument/2006/relationships/hyperlink" Target="https://www.roselleskinclinic.com/" TargetMode="External"/><Relationship Id="rId129" Type="http://schemas.openxmlformats.org/officeDocument/2006/relationships/hyperlink" Target="https://www.drsanitamishra.com/" TargetMode="External"/><Relationship Id="rId128" Type="http://schemas.openxmlformats.org/officeDocument/2006/relationships/hyperlink" Target="https://www.google.com/maps/place/Dr.+Sandeep+Rai,/data=!4m7!3m6!1s0x3be7c3b76561a75f:0x780d31030d58d861!8m2!3d19.0231511!4d73.0314235!16s%2Fg%2F11j0v0lpr9!19sChIJX6dhZbfD5zsRYdhYDQMxDXg?authuser=0&amp;hl=en&amp;rclk=1" TargetMode="External"/><Relationship Id="rId249" Type="http://schemas.openxmlformats.org/officeDocument/2006/relationships/hyperlink" Target="https://dralokkumar2659.getmy.clinic/?utm_source=gmb&amp;utm_medium=web&amp;utm_campaign=tu" TargetMode="External"/><Relationship Id="rId127" Type="http://schemas.openxmlformats.org/officeDocument/2006/relationships/hyperlink" Target="https://www.instagram.com/drsandeeprai" TargetMode="External"/><Relationship Id="rId248" Type="http://schemas.openxmlformats.org/officeDocument/2006/relationships/hyperlink" Target="https://www.google.com/maps/place/Terna+Speciality+Hospital+%26+Research+Centre,+Navi+Mumbai+%7C+Best+Hospital+in+Navi+Mumbai/data=!4m7!3m6!1s0x3be7c3ea86beb207:0x7f154e8cdff9c916!8m2!3d19.0315347!4d73.0162787!16s%2Fg%2F11gzm8fv1!19sChIJB7K-hurD5zsRFsn534xOFX8?authuser=0&amp;hl=en&amp;rclk=1" TargetMode="External"/><Relationship Id="rId126" Type="http://schemas.openxmlformats.org/officeDocument/2006/relationships/hyperlink" Target="https://www.drsandeeprai.com/" TargetMode="External"/><Relationship Id="rId247" Type="http://schemas.openxmlformats.org/officeDocument/2006/relationships/hyperlink" Target="https://www.instagram.com/ternahospital" TargetMode="External"/><Relationship Id="rId121" Type="http://schemas.openxmlformats.org/officeDocument/2006/relationships/hyperlink" Target="http://www.svdayurved.com/" TargetMode="External"/><Relationship Id="rId242" Type="http://schemas.openxmlformats.org/officeDocument/2006/relationships/hyperlink" Target="https://askhomeo.com/" TargetMode="External"/><Relationship Id="rId120" Type="http://schemas.openxmlformats.org/officeDocument/2006/relationships/hyperlink" Target="https://www.google.com/maps/place/DR.+PARVEZ+UMAR+KHAN,+ROSHAN+UMAR+CLINIC,Family+Phsician+%28M.B.B.S%29Nerul,Navi+Mumbai/data=!4m7!3m6!1s0x3be7c36ec80371df:0x5fed2ab38de5bd89!8m2!3d19.0284367!4d73.0181821!16s%2Fg%2F11s2k6tmd9!19sChIJ33EDyG7D5zsRib3ljbMq7V8?authuser=0&amp;hl=en&amp;rclk=1" TargetMode="External"/><Relationship Id="rId241" Type="http://schemas.openxmlformats.org/officeDocument/2006/relationships/hyperlink" Target="https://www.google.com/maps/place/Star+Heart+Clinic+-+Dr+Rakesh+Tirmale,+Cardiologist+Nerul+Navi+Mumbai/data=!4m7!3m6!1s0x3be7c3d5d828d4e5:0x980fae5edd0e7ef3!8m2!3d19.0474483!4d73.0190201!16s%2Fg%2F11ls2jzt3c!19sChIJ5dQo2NXD5zsR834O3V6uD5g?authuser=0&amp;hl=en&amp;rclk=1" TargetMode="External"/><Relationship Id="rId240" Type="http://schemas.openxmlformats.org/officeDocument/2006/relationships/hyperlink" Target="https://www.instagram.com/starheartclinic" TargetMode="External"/><Relationship Id="rId125" Type="http://schemas.openxmlformats.org/officeDocument/2006/relationships/hyperlink" Target="https://www.google.com/maps/place/Dr.+Salman%27s+Healthcare+clinic/data=!4m7!3m6!1s0x3be7c3e97713dd7f:0x3e624dd525be13e9!8m2!3d19.034756!4d73.01564!16s%2Fg%2F11rmx06x2j!19sChIJf90Td-nD5zsR6RO-JdVNYj4?authuser=0&amp;hl=en&amp;rclk=1" TargetMode="External"/><Relationship Id="rId246" Type="http://schemas.openxmlformats.org/officeDocument/2006/relationships/hyperlink" Target="https://ternahospital.org/" TargetMode="External"/><Relationship Id="rId124" Type="http://schemas.openxmlformats.org/officeDocument/2006/relationships/hyperlink" Target="https://www.google.com/maps/place/Dr.+Salil+Vijay+Patkar+-+Best+Medical+Oncologist+in+Navi+Mumbai+%7C+Apollo+Hospital+Navi+Mumbai/data=!4m7!3m6!1s0x3be7c3b0e19e8f69:0xfc48289fde73f93d!8m2!3d19.0231511!4d73.0314235!16s%2Fg%2F11ft5v48j1!19sChIJaY-e4bDD5zsRPflz3p8oSPw?authuser=0&amp;hl=en&amp;rclk=1" TargetMode="External"/><Relationship Id="rId245" Type="http://schemas.openxmlformats.org/officeDocument/2006/relationships/hyperlink" Target="https://www.google.com/maps/place/TAWTE+clinic/data=!4m7!3m6!1s0x3be7c309ac054a59:0x615528e027fbdf20!8m2!3d19.0291268!4d73.0231878!16s%2Fg%2F11fk1410nx!19sChIJWUoFrAnD5zsRIN_7J-AoVWE?authuser=0&amp;hl=en&amp;rclk=1" TargetMode="External"/><Relationship Id="rId123" Type="http://schemas.openxmlformats.org/officeDocument/2006/relationships/hyperlink" Target="https://www.apollohospitals.com/doctors/medical-oncologist/mumbai/dr-salil-vijay-patkar" TargetMode="External"/><Relationship Id="rId244" Type="http://schemas.openxmlformats.org/officeDocument/2006/relationships/hyperlink" Target="https://www.google.com/maps/place/SweetPills+Homeopathy+Clinics+%E2%80%93+Seawoods+%28Best+Homeopathy+Doctor+in+Navi+Mumbai%29/data=!4m7!3m6!1s0x3be7c3be73b4f329:0x9f205b3ba9f06bb3!8m2!3d19.0232165!4d73.0204214!16s%2Fg%2F1pt_1cz4c!19sChIJKfO0c77D5zsRs2vwqTtbIJ8?authuser=0&amp;hl=en&amp;rclk=1" TargetMode="External"/><Relationship Id="rId122" Type="http://schemas.openxmlformats.org/officeDocument/2006/relationships/hyperlink" Target="https://www.google.com/maps/place/Dr.+Pratik+M.+Patil%27s,+Shree+Vishwa+Dhanvantari+Ayurved+Chikitsalaya/data=!4m7!3m6!1s0x3be7c3bc3bf6a9ef:0xe985479b3c896555!8m2!3d19.0302183!4d73.0225182!16s%2Fg%2F1tj29gpf!19sChIJ76n2O7zD5zsRVWWJPJtHhek?authuser=0&amp;hl=en&amp;rclk=1" TargetMode="External"/><Relationship Id="rId243" Type="http://schemas.openxmlformats.org/officeDocument/2006/relationships/hyperlink" Target="https://www.instagram.com/sweetpillshomeopathy" TargetMode="External"/><Relationship Id="rId95" Type="http://schemas.openxmlformats.org/officeDocument/2006/relationships/hyperlink" Target="https://drsureshadediabetologist.com/" TargetMode="External"/><Relationship Id="rId94" Type="http://schemas.openxmlformats.org/officeDocument/2006/relationships/hyperlink" Target="https://www.google.com/maps/place/Dr+Sonam%27s+Skin+Clinic/data=!4m7!3m6!1s0x3be7c3c205a51029:0x1989c37affdb48bc!8m2!3d19.0362336!4d73.0125649!16s%2Fg%2F11n0899_r6!19sChIJKRClBcLD5zsRvEjb_3rDiRk?authuser=0&amp;hl=en&amp;rclk=1" TargetMode="External"/><Relationship Id="rId97" Type="http://schemas.openxmlformats.org/officeDocument/2006/relationships/hyperlink" Target="https://www.google.com/maps/place/Dr+Suresh+Ade/data=!4m7!3m6!1s0x3be7c14b0b438087:0x8a4507f5b2b8135e!8m2!3d19.0418173!4d73.0193001!16s%2Fg%2F11c6pm6_m8!19sChIJh4BDC0vB5zsRXhO4svUHRYo?authuser=0&amp;hl=en&amp;rclk=1" TargetMode="External"/><Relationship Id="rId96" Type="http://schemas.openxmlformats.org/officeDocument/2006/relationships/hyperlink" Target="https://www.instagram.com/drsureshadediabetologist" TargetMode="External"/><Relationship Id="rId99" Type="http://schemas.openxmlformats.org/officeDocument/2006/relationships/hyperlink" Target="https://www.apollohospitals.com/doctors/interventional-cardiologist/mumbai/dr-brajesh-kumar-kunwar" TargetMode="External"/><Relationship Id="rId98" Type="http://schemas.openxmlformats.org/officeDocument/2006/relationships/hyperlink" Target="https://www.google.com/maps/place/Dr+Swetha+Shetty-+Siddhant+Clinic/data=!4m7!3m6!1s0x3be7c38d78f769df:0x38210c944e9febd3!8m2!3d19.0302055!4d73.0254726!16s%2Fg%2F11xvbdq04d!19sChIJ32n3eI3D5zsR0-ufTpQMITg?authuser=0&amp;hl=en&amp;rclk=1" TargetMode="External"/><Relationship Id="rId91" Type="http://schemas.openxmlformats.org/officeDocument/2006/relationships/hyperlink" Target="http://drsangani.in/" TargetMode="External"/><Relationship Id="rId90" Type="http://schemas.openxmlformats.org/officeDocument/2006/relationships/hyperlink" Target="https://www.google.com/maps/place/Dr+Sambhaji+Patil/data=!4m7!3m6!1s0x3be7c365162311a5:0xbde12e5eb31f42dd!8m2!3d19.0385757!4d73.0202885!16s%2Fg%2F11nfw46299!19sChIJpREjFmXD5zsR3UIfs14u4b0?authuser=0&amp;hl=en&amp;rclk=1" TargetMode="External"/><Relationship Id="rId93" Type="http://schemas.openxmlformats.org/officeDocument/2006/relationships/hyperlink" Target="https://www.google.com/maps/place/Dr+Sangram+Karandikar/data=!4m7!3m6!1s0x3be7c3bf00bcf087:0x94fd9b290aa28882!8m2!3d19.0269818!4d73.0199724!16s%2Fg%2F113hgr1v1!19sChIJh_C8AL_D5zsRgoiiCimb_ZQ?authuser=0&amp;hl=en&amp;rclk=1" TargetMode="External"/><Relationship Id="rId92" Type="http://schemas.openxmlformats.org/officeDocument/2006/relationships/hyperlink" Target="https://www.google.com/maps/place/Dr+Sangani+Diagnostic+Centre/data=!4m7!3m6!1s0x3be7c3c151abb75d:0x8933c9d50912ed4b!8m2!3d19.0386897!4d73.0202252!16s%2Fg%2F1tr7b8cy!19sChIJXberUcHD5zsRS-0SCdXJM4k?authuser=0&amp;hl=en&amp;rclk=1" TargetMode="External"/><Relationship Id="rId118" Type="http://schemas.openxmlformats.org/officeDocument/2006/relationships/hyperlink" Target="https://skinhance.co.in/" TargetMode="External"/><Relationship Id="rId239" Type="http://schemas.openxmlformats.org/officeDocument/2006/relationships/hyperlink" Target="https://www.starheartclinic.co/" TargetMode="External"/><Relationship Id="rId117" Type="http://schemas.openxmlformats.org/officeDocument/2006/relationships/hyperlink" Target="https://www.google.com/maps/place/%F0%9D%97%97%F0%9D%97%BF.+%F0%9D%97%A1%F0%9D%97%B2%F0%9D%97%B2%F0%9D%98%81%F0%9D%97%AE%27%F0%9D%98%80+%F0%9D%97%95%F0%9D%97%BC%F0%9D%97%B1%F0%9D%98%86%F0%9D%98%80%F0%9D%97%B0%F0%9D%98%82%F0%9D%97%B9%F0%9D%97%BD%F0%9D%98%81+%F0%9D%97%96%F0%9D%97%B9%F0%9D%97%B6%F0%9D%97%BB%F0%9D%97%B6%F0%9D%97%B0/data=!4m7!3m6!1s0x3be7c31cd23bd707:0x95821035fd6ae1a8!8m2!3d19.0386174!4d73.0202805!16s%2Fg%2F11hzc8vzbk!19sChIJB9c70hzD5zsRqOFq_TUQgpU?authuser=0&amp;hl=en&amp;rclk=1" TargetMode="External"/><Relationship Id="rId238" Type="http://schemas.openxmlformats.org/officeDocument/2006/relationships/hyperlink" Target="https://www.google.com/maps/place/Sparsh+Skin+and+Hair+Cosmetology+Center/data=!4m7!3m6!1s0x3be7c0d9fb9d57bb:0xaa1e83806765c80f!8m2!3d19.1023143!4d73.0054881!16s%2Fg%2F1ptxqbj47!19sChIJu1ed-9nA5zsRD8hlZ4CDHqo?authuser=0&amp;hl=en&amp;rclk=1" TargetMode="External"/><Relationship Id="rId116" Type="http://schemas.openxmlformats.org/officeDocument/2006/relationships/hyperlink" Target="https://www.instagram.com/skinhanceclinic" TargetMode="External"/><Relationship Id="rId237" Type="http://schemas.openxmlformats.org/officeDocument/2006/relationships/hyperlink" Target="https://www.instagram.com/sparshskinclinics" TargetMode="External"/><Relationship Id="rId115" Type="http://schemas.openxmlformats.org/officeDocument/2006/relationships/hyperlink" Target="https://www.bodysculptclinic.in/" TargetMode="External"/><Relationship Id="rId236" Type="http://schemas.openxmlformats.org/officeDocument/2006/relationships/hyperlink" Target="https://www.sparshskinclinics.com/" TargetMode="External"/><Relationship Id="rId119" Type="http://schemas.openxmlformats.org/officeDocument/2006/relationships/hyperlink" Target="https://www.google.com/maps/place/Dr.+Neetu/data=!4m7!3m6!1s0x3be7c135f8a410e1:0xbefef6095a5f19be!8m2!3d19.0725692!4d72.9982326!16s%2Fg%2F11c31vp84v!19sChIJ4RCk-DXB5zsRvhlfWgn2_r4?authuser=0&amp;hl=en&amp;rclk=1" TargetMode="External"/><Relationship Id="rId110" Type="http://schemas.openxmlformats.org/officeDocument/2006/relationships/hyperlink" Target="https://www.google.com/maps/place/Dr.+Kalpesh+Mande+Ayurvedic+%26+Physiotherapy+Clinic/data=!4m7!3m6!1s0x3be7c1318fb00e69:0xf8bfe3bf2c3b161!8m2!3d19.0821344!4d72.9994654!16s%2Fg%2F11fzf4p481!19sChIJaQ6wjzHB5zsRYbHD8jv-iw8?authuser=0&amp;hl=en&amp;rclk=1" TargetMode="External"/><Relationship Id="rId231" Type="http://schemas.openxmlformats.org/officeDocument/2006/relationships/hyperlink" Target="https://www.instagram.com/skiniq.in" TargetMode="External"/><Relationship Id="rId230" Type="http://schemas.openxmlformats.org/officeDocument/2006/relationships/hyperlink" Target="https://www.skiniq.in/" TargetMode="External"/><Relationship Id="rId114" Type="http://schemas.openxmlformats.org/officeDocument/2006/relationships/hyperlink" Target="https://www.google.com/maps/place/Dr.+Marwa+Deshmukh+%7C+MD+Dermatology+%26+Venereal+Diseases+%7C+Navi+Mumbai/data=!4m7!3m6!1s0x3be7c328737d0557:0xb9b90db7c42db6b8!8m2!3d19.0365552!4d73.0222877!16s%2Fg%2F11n541zw8k!19sChIJVwV9cyjD5zsRuLYtxLcNubk?authuser=0&amp;hl=en&amp;rclk=1" TargetMode="External"/><Relationship Id="rId235" Type="http://schemas.openxmlformats.org/officeDocument/2006/relationships/hyperlink" Target="https://www.google.com/maps/place/Smile+Please+Dental+Clinic/data=!4m7!3m6!1s0x3be7c149bfffffff:0x28c638d6d6ba70d6!8m2!3d19.0731329!4d72.9982557!16s%2Fg%2F1tmg9x9m!19sChIJ____v0nB5zsR1nC61tY4xig?authuser=0&amp;hl=en&amp;rclk=1" TargetMode="External"/><Relationship Id="rId113" Type="http://schemas.openxmlformats.org/officeDocument/2006/relationships/hyperlink" Target="https://www.instagram.com/bodysculptclinic" TargetMode="External"/><Relationship Id="rId234" Type="http://schemas.openxmlformats.org/officeDocument/2006/relationships/hyperlink" Target="https://www.instagram.com/smiileplease" TargetMode="External"/><Relationship Id="rId112" Type="http://schemas.openxmlformats.org/officeDocument/2006/relationships/hyperlink" Target="https://www.google.com/maps/place/Dr.+Kshitij+Thoke/data=!4m7!3m6!1s0x3be7c217f42b6fc7:0xa25bbaa26d3e13bb!8m2!3d19.0469748!4d73.0700633!16s%2Fg%2F11b7tyswsm!19sChIJx28r9BfC5zsRuxM-baK6W6I?authuser=0&amp;hl=en&amp;rclk=1" TargetMode="External"/><Relationship Id="rId233" Type="http://schemas.openxmlformats.org/officeDocument/2006/relationships/hyperlink" Target="https://www.smiileplease.com/" TargetMode="External"/><Relationship Id="rId111" Type="http://schemas.openxmlformats.org/officeDocument/2006/relationships/hyperlink" Target="https://drmadhavimd.com/" TargetMode="External"/><Relationship Id="rId232" Type="http://schemas.openxmlformats.org/officeDocument/2006/relationships/hyperlink" Target="https://www.google.com/maps/place/SkinIQ+Skin+Clinic/data=!4m7!3m6!1s0x3be7c36e0a3f11ef:0x95f182a071cac221!8m2!3d19.0432094!4d73.0640734!16s%2Fg%2F11mvp6dv72!19sChIJ7xE_Cm7D5zsRIcLKcaCC8ZU?authuser=0&amp;hl=en&amp;rclk=1" TargetMode="External"/><Relationship Id="rId206" Type="http://schemas.openxmlformats.org/officeDocument/2006/relationships/hyperlink" Target="https://www.google.com/maps/place/Restore+Aesthetic+Clinic/data=!4m7!3m6!1s0x3be7c3c0b8bf2fc3:0x6a79483b3aa2c9fc!8m2!3d19.0310537!4d73.0217795!16s%2Fg%2F11ryd8kgq5!19sChIJwy-_uMDD5zsR_MmiOjtIeWo?authuser=0&amp;hl=en&amp;rclk=1" TargetMode="External"/><Relationship Id="rId205" Type="http://schemas.openxmlformats.org/officeDocument/2006/relationships/hyperlink" Target="https://www.instagram.com/restoreclinics" TargetMode="External"/><Relationship Id="rId204" Type="http://schemas.openxmlformats.org/officeDocument/2006/relationships/hyperlink" Target="https://www.restoreclinics.in/" TargetMode="External"/><Relationship Id="rId203" Type="http://schemas.openxmlformats.org/officeDocument/2006/relationships/hyperlink" Target="https://www.google.com/maps/place/Prana+Shakti+Clinic.+Dr+Ashwini+Raval.+Best+Homeopathic+Doctor+in+Navi+Mumbai./data=!4m7!3m6!1s0x3be7c330780f4c7f:0xf778a5042230e637!8m2!3d19.041258!4d73.010146!16s%2Fg%2F11w3zyl_fm!19sChIJf0wPeDDD5zsRN-YwIgSlePc?authuser=0&amp;hl=en&amp;rclk=1" TargetMode="External"/><Relationship Id="rId209" Type="http://schemas.openxmlformats.org/officeDocument/2006/relationships/hyperlink" Target="https://www.google.com/maps/place/Rivo+Skin+Care+Clinic+-+Laser+Hair+Removal+and+Dermatologist+in+Seawoods,+Navi+Mumbai/data=!4m7!3m6!1s0x3be7c3994cdc5325:0x1a3416050ec0c003!8m2!3d19.0116659!4d73.0120266!16s%2Fg%2F11gd1_dbz9!19sChIJJVPcTJnD5zsRA8DADgUWNBo?authuser=0&amp;hl=en&amp;rclk=1" TargetMode="External"/><Relationship Id="rId208" Type="http://schemas.openxmlformats.org/officeDocument/2006/relationships/hyperlink" Target="https://www.instagram.com/rivoskin" TargetMode="External"/><Relationship Id="rId207" Type="http://schemas.openxmlformats.org/officeDocument/2006/relationships/hyperlink" Target="https://www.rivoskin.com/" TargetMode="External"/><Relationship Id="rId202" Type="http://schemas.openxmlformats.org/officeDocument/2006/relationships/hyperlink" Target="https://www.google.com/maps/place/Parasnath+Speciality+Clinics+%7C+Knee+and+Spine+Clinic+in+Vashi,+Navi+Mumbai/data=!4m7!3m6!1s0x3be7c1dfafcc8b65:0xbaba3c2e67be05d4!8m2!3d19.0737122!4d72.9992978!16s%2Fg%2F11fk2mhxc4!19sChIJZYvMr9_B5zsR1AW-Zy48uro?authuser=0&amp;hl=en&amp;rclk=1" TargetMode="External"/><Relationship Id="rId201" Type="http://schemas.openxmlformats.org/officeDocument/2006/relationships/hyperlink" Target="https://www.instagram.com/parasnathclinics" TargetMode="External"/><Relationship Id="rId200" Type="http://schemas.openxmlformats.org/officeDocument/2006/relationships/hyperlink" Target="https://parasnathclinics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0.5"/>
  </cols>
  <sheetData>
    <row r="1">
      <c r="A1" s="3" t="s">
        <v>0</v>
      </c>
    </row>
    <row r="2">
      <c r="A2" s="4"/>
    </row>
    <row r="3">
      <c r="A3" s="5" t="s">
        <v>37</v>
      </c>
    </row>
    <row r="4">
      <c r="A4" s="6" t="s">
        <v>38</v>
      </c>
    </row>
    <row r="5">
      <c r="A5" s="5" t="s">
        <v>39</v>
      </c>
    </row>
    <row r="6">
      <c r="A6" s="5" t="s">
        <v>41</v>
      </c>
    </row>
    <row r="7">
      <c r="A7" s="5" t="s">
        <v>44</v>
      </c>
    </row>
    <row r="8">
      <c r="A8" s="5" t="s">
        <v>45</v>
      </c>
    </row>
    <row r="9">
      <c r="A9" s="5" t="s">
        <v>46</v>
      </c>
    </row>
    <row r="10">
      <c r="A10" s="5" t="s">
        <v>47</v>
      </c>
    </row>
    <row r="11">
      <c r="A11" s="5" t="s">
        <v>48</v>
      </c>
    </row>
    <row r="12">
      <c r="A12" s="4"/>
    </row>
    <row r="13">
      <c r="A13" s="4"/>
    </row>
    <row r="14">
      <c r="A14" s="3" t="s">
        <v>50</v>
      </c>
    </row>
    <row r="15">
      <c r="A15" s="9"/>
    </row>
    <row r="16">
      <c r="A16" s="5" t="s">
        <v>55</v>
      </c>
    </row>
    <row r="17">
      <c r="A17" s="5" t="s">
        <v>57</v>
      </c>
    </row>
    <row r="18">
      <c r="A18" s="5" t="s">
        <v>60</v>
      </c>
    </row>
    <row r="19">
      <c r="A19" s="5"/>
    </row>
    <row r="20">
      <c r="A20" s="5" t="s">
        <v>64</v>
      </c>
    </row>
    <row r="21">
      <c r="A21" s="5" t="s">
        <v>65</v>
      </c>
    </row>
    <row r="22">
      <c r="A22" s="5" t="s">
        <v>66</v>
      </c>
    </row>
    <row r="23">
      <c r="A23" s="5"/>
    </row>
    <row r="24">
      <c r="A24" s="4"/>
    </row>
    <row r="25">
      <c r="A2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31</v>
      </c>
      <c r="T1" s="1" t="s">
        <v>33</v>
      </c>
      <c r="U1" s="1" t="s">
        <v>34</v>
      </c>
      <c r="V1" s="1" t="s">
        <v>35</v>
      </c>
    </row>
    <row r="2" ht="15.75" customHeight="1"/>
    <row r="3" ht="15.75" customHeight="1"/>
    <row r="4" ht="15.75" customHeight="1">
      <c r="A4" s="8" t="s">
        <v>36</v>
      </c>
      <c r="B4" s="1" t="s">
        <v>49</v>
      </c>
      <c r="C4" s="1">
        <v>5.0</v>
      </c>
      <c r="D4" s="1">
        <v>-9.0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56</v>
      </c>
      <c r="J4" s="1" t="s">
        <v>52</v>
      </c>
      <c r="K4" s="1" t="s">
        <v>58</v>
      </c>
      <c r="L4" s="1" t="s">
        <v>59</v>
      </c>
      <c r="M4" s="1" t="s">
        <v>61</v>
      </c>
      <c r="N4" s="8" t="s">
        <v>63</v>
      </c>
      <c r="O4" s="1" t="s">
        <v>67</v>
      </c>
    </row>
    <row r="5" ht="15.75" customHeight="1">
      <c r="A5" s="8" t="s">
        <v>68</v>
      </c>
      <c r="B5" s="1" t="s">
        <v>72</v>
      </c>
      <c r="C5" s="1">
        <v>5.0</v>
      </c>
      <c r="D5" s="1">
        <v>-71.0</v>
      </c>
      <c r="E5" s="1" t="s">
        <v>74</v>
      </c>
      <c r="F5" s="1" t="s">
        <v>52</v>
      </c>
      <c r="G5" s="1" t="s">
        <v>76</v>
      </c>
      <c r="H5" s="1" t="s">
        <v>54</v>
      </c>
      <c r="I5" s="1" t="s">
        <v>77</v>
      </c>
      <c r="J5" s="1" t="s">
        <v>52</v>
      </c>
      <c r="K5" s="1" t="s">
        <v>78</v>
      </c>
      <c r="L5" s="1" t="s">
        <v>59</v>
      </c>
      <c r="M5" s="1" t="s">
        <v>61</v>
      </c>
      <c r="N5" s="8" t="s">
        <v>63</v>
      </c>
      <c r="O5" s="1" t="s">
        <v>79</v>
      </c>
    </row>
    <row r="6" ht="15.75" customHeight="1">
      <c r="A6" s="8" t="s">
        <v>80</v>
      </c>
      <c r="B6" s="1" t="s">
        <v>82</v>
      </c>
      <c r="C6" s="1">
        <v>4.7</v>
      </c>
      <c r="D6" s="13">
        <v>-28262.0</v>
      </c>
      <c r="E6" s="1" t="s">
        <v>86</v>
      </c>
      <c r="F6" s="1" t="s">
        <v>52</v>
      </c>
      <c r="G6" s="1" t="s">
        <v>52</v>
      </c>
      <c r="H6" s="1" t="s">
        <v>88</v>
      </c>
      <c r="I6" s="1" t="s">
        <v>89</v>
      </c>
      <c r="J6" s="1" t="s">
        <v>52</v>
      </c>
      <c r="K6" s="1" t="s">
        <v>90</v>
      </c>
      <c r="L6" s="1" t="s">
        <v>91</v>
      </c>
      <c r="M6" s="1" t="s">
        <v>2</v>
      </c>
      <c r="N6" s="8" t="s">
        <v>63</v>
      </c>
      <c r="O6" s="1" t="s">
        <v>92</v>
      </c>
      <c r="P6" s="1" t="s">
        <v>93</v>
      </c>
      <c r="Q6" s="8" t="s">
        <v>94</v>
      </c>
      <c r="R6" s="1" t="s">
        <v>59</v>
      </c>
      <c r="S6" s="1" t="s">
        <v>61</v>
      </c>
    </row>
    <row r="7" ht="15.75" customHeight="1">
      <c r="A7" s="8" t="s">
        <v>97</v>
      </c>
      <c r="B7" s="1" t="s">
        <v>101</v>
      </c>
      <c r="C7" s="1">
        <v>5.0</v>
      </c>
      <c r="D7" s="1">
        <v>-29.0</v>
      </c>
      <c r="E7" s="1" t="s">
        <v>51</v>
      </c>
      <c r="F7" s="1" t="s">
        <v>52</v>
      </c>
      <c r="G7" s="1" t="s">
        <v>103</v>
      </c>
      <c r="H7" s="1" t="s">
        <v>54</v>
      </c>
      <c r="I7" s="1" t="s">
        <v>105</v>
      </c>
      <c r="J7" s="1" t="s">
        <v>52</v>
      </c>
      <c r="K7" s="1" t="s">
        <v>106</v>
      </c>
      <c r="L7" s="1" t="s">
        <v>59</v>
      </c>
      <c r="M7" s="1" t="s">
        <v>61</v>
      </c>
      <c r="N7" s="8" t="s">
        <v>63</v>
      </c>
      <c r="O7" s="1" t="s">
        <v>108</v>
      </c>
    </row>
    <row r="8" ht="15.75" customHeight="1">
      <c r="A8" s="8" t="s">
        <v>110</v>
      </c>
      <c r="B8" s="1" t="s">
        <v>113</v>
      </c>
      <c r="C8" s="1">
        <v>4.8</v>
      </c>
      <c r="D8" s="1">
        <v>-241.0</v>
      </c>
      <c r="E8" s="1" t="s">
        <v>115</v>
      </c>
      <c r="F8" s="1" t="s">
        <v>52</v>
      </c>
      <c r="G8" s="1" t="s">
        <v>52</v>
      </c>
      <c r="H8" s="1" t="s">
        <v>121</v>
      </c>
      <c r="I8" s="1" t="s">
        <v>122</v>
      </c>
      <c r="J8" s="1" t="s">
        <v>52</v>
      </c>
      <c r="K8" s="1" t="s">
        <v>123</v>
      </c>
      <c r="L8" s="1" t="s">
        <v>91</v>
      </c>
      <c r="M8" s="1" t="s">
        <v>2</v>
      </c>
      <c r="N8" s="8" t="s">
        <v>63</v>
      </c>
      <c r="O8" s="1" t="s">
        <v>125</v>
      </c>
      <c r="P8" s="1" t="s">
        <v>93</v>
      </c>
      <c r="Q8" s="8" t="s">
        <v>127</v>
      </c>
      <c r="R8" s="1" t="s">
        <v>59</v>
      </c>
      <c r="S8" s="1" t="s">
        <v>61</v>
      </c>
      <c r="T8" s="1" t="s">
        <v>129</v>
      </c>
      <c r="U8" s="1" t="s">
        <v>130</v>
      </c>
      <c r="V8" s="1" t="s">
        <v>131</v>
      </c>
    </row>
    <row r="9" ht="15.75" customHeight="1">
      <c r="A9" s="8" t="s">
        <v>133</v>
      </c>
      <c r="B9" s="1" t="s">
        <v>135</v>
      </c>
      <c r="C9" s="1">
        <v>5.0</v>
      </c>
      <c r="D9" s="1">
        <v>-20.0</v>
      </c>
      <c r="E9" s="1" t="s">
        <v>136</v>
      </c>
      <c r="F9" s="1" t="s">
        <v>52</v>
      </c>
      <c r="G9" s="1" t="s">
        <v>137</v>
      </c>
      <c r="H9" s="1" t="s">
        <v>54</v>
      </c>
      <c r="I9" s="1" t="s">
        <v>56</v>
      </c>
      <c r="J9" s="1" t="s">
        <v>52</v>
      </c>
      <c r="K9" s="1" t="s">
        <v>138</v>
      </c>
      <c r="L9" s="1" t="s">
        <v>59</v>
      </c>
      <c r="M9" s="1" t="s">
        <v>61</v>
      </c>
      <c r="N9" s="8" t="s">
        <v>63</v>
      </c>
      <c r="O9" s="1" t="s">
        <v>139</v>
      </c>
    </row>
    <row r="10" ht="15.75" customHeight="1">
      <c r="A10" s="8" t="s">
        <v>140</v>
      </c>
      <c r="B10" s="1" t="s">
        <v>143</v>
      </c>
      <c r="C10" s="1">
        <v>4.8</v>
      </c>
      <c r="D10" s="1">
        <v>-41.0</v>
      </c>
      <c r="E10" s="1" t="s">
        <v>51</v>
      </c>
      <c r="F10" s="1" t="s">
        <v>52</v>
      </c>
      <c r="G10" s="1" t="s">
        <v>145</v>
      </c>
      <c r="K10" s="1" t="s">
        <v>147</v>
      </c>
      <c r="L10" s="1" t="s">
        <v>59</v>
      </c>
      <c r="M10" s="1" t="s">
        <v>61</v>
      </c>
      <c r="N10" s="8" t="s">
        <v>63</v>
      </c>
      <c r="O10" s="1" t="s">
        <v>150</v>
      </c>
    </row>
    <row r="11" ht="15.75" customHeight="1">
      <c r="A11" s="8" t="s">
        <v>151</v>
      </c>
      <c r="B11" s="1" t="s">
        <v>158</v>
      </c>
      <c r="C11" s="1">
        <v>4.8</v>
      </c>
      <c r="D11" s="13">
        <v>-4169.0</v>
      </c>
      <c r="E11" s="1" t="s">
        <v>86</v>
      </c>
      <c r="F11" s="1" t="s">
        <v>52</v>
      </c>
      <c r="G11" s="1" t="s">
        <v>52</v>
      </c>
      <c r="H11" s="1" t="s">
        <v>159</v>
      </c>
      <c r="I11" s="1" t="s">
        <v>89</v>
      </c>
      <c r="J11" s="1" t="s">
        <v>52</v>
      </c>
      <c r="K11" s="1" t="s">
        <v>161</v>
      </c>
      <c r="L11" s="1" t="s">
        <v>91</v>
      </c>
      <c r="M11" s="1" t="s">
        <v>2</v>
      </c>
      <c r="N11" s="8" t="s">
        <v>63</v>
      </c>
      <c r="O11" s="1" t="s">
        <v>162</v>
      </c>
      <c r="P11" s="1" t="s">
        <v>93</v>
      </c>
      <c r="Q11" s="8" t="s">
        <v>163</v>
      </c>
      <c r="R11" s="1" t="s">
        <v>59</v>
      </c>
      <c r="S11" s="1" t="s">
        <v>61</v>
      </c>
    </row>
    <row r="12" ht="15.75" customHeight="1">
      <c r="A12" s="8" t="s">
        <v>169</v>
      </c>
      <c r="B12" s="1" t="s">
        <v>170</v>
      </c>
      <c r="C12" s="1">
        <v>5.0</v>
      </c>
      <c r="D12" s="1">
        <v>-98.0</v>
      </c>
      <c r="E12" s="1" t="s">
        <v>51</v>
      </c>
      <c r="F12" s="1" t="s">
        <v>52</v>
      </c>
      <c r="G12" s="1" t="s">
        <v>52</v>
      </c>
      <c r="H12" s="1" t="s">
        <v>54</v>
      </c>
      <c r="I12" s="1" t="s">
        <v>56</v>
      </c>
      <c r="J12" s="1" t="s">
        <v>171</v>
      </c>
      <c r="K12" s="1" t="s">
        <v>172</v>
      </c>
      <c r="L12" s="1" t="s">
        <v>59</v>
      </c>
      <c r="M12" s="1" t="s">
        <v>61</v>
      </c>
      <c r="N12" s="8" t="s">
        <v>63</v>
      </c>
      <c r="O12" s="1" t="s">
        <v>173</v>
      </c>
      <c r="P12" s="1" t="s">
        <v>93</v>
      </c>
      <c r="T12" s="1" t="s">
        <v>52</v>
      </c>
      <c r="U12" s="1" t="s">
        <v>175</v>
      </c>
      <c r="V12" s="1" t="s">
        <v>177</v>
      </c>
    </row>
    <row r="13" ht="15.75" customHeight="1">
      <c r="A13" s="8" t="s">
        <v>178</v>
      </c>
      <c r="B13" s="1" t="s">
        <v>180</v>
      </c>
      <c r="C13" s="1">
        <v>4.9</v>
      </c>
      <c r="D13" s="1">
        <v>-330.0</v>
      </c>
      <c r="E13" s="1" t="s">
        <v>181</v>
      </c>
      <c r="F13" s="1" t="s">
        <v>52</v>
      </c>
      <c r="G13" s="1" t="s">
        <v>52</v>
      </c>
      <c r="H13" s="1" t="s">
        <v>182</v>
      </c>
      <c r="I13" s="1" t="s">
        <v>89</v>
      </c>
      <c r="L13" s="1" t="s">
        <v>91</v>
      </c>
      <c r="M13" s="1" t="s">
        <v>2</v>
      </c>
      <c r="N13" s="8" t="s">
        <v>63</v>
      </c>
      <c r="O13" s="1" t="s">
        <v>183</v>
      </c>
      <c r="P13" s="1" t="s">
        <v>93</v>
      </c>
      <c r="Q13" s="8" t="s">
        <v>186</v>
      </c>
      <c r="R13" s="1" t="s">
        <v>59</v>
      </c>
      <c r="S13" s="1" t="s">
        <v>61</v>
      </c>
    </row>
    <row r="14" ht="15.75" customHeight="1">
      <c r="A14" s="8" t="s">
        <v>190</v>
      </c>
      <c r="B14" s="1" t="s">
        <v>191</v>
      </c>
      <c r="C14" s="1">
        <v>4.9</v>
      </c>
      <c r="D14" s="1">
        <v>-283.0</v>
      </c>
      <c r="E14" s="1" t="s">
        <v>192</v>
      </c>
      <c r="F14" s="1" t="s">
        <v>52</v>
      </c>
      <c r="G14" s="1" t="s">
        <v>52</v>
      </c>
      <c r="H14" s="1" t="s">
        <v>193</v>
      </c>
      <c r="I14" s="1" t="s">
        <v>54</v>
      </c>
      <c r="J14" s="1" t="s">
        <v>52</v>
      </c>
      <c r="K14" s="1" t="s">
        <v>194</v>
      </c>
      <c r="L14" s="1" t="s">
        <v>91</v>
      </c>
      <c r="M14" s="1" t="s">
        <v>2</v>
      </c>
      <c r="N14" s="8" t="s">
        <v>63</v>
      </c>
      <c r="O14" s="1" t="s">
        <v>196</v>
      </c>
      <c r="P14" s="1" t="s">
        <v>93</v>
      </c>
      <c r="Q14" s="8" t="s">
        <v>198</v>
      </c>
      <c r="R14" s="1" t="s">
        <v>59</v>
      </c>
      <c r="S14" s="1" t="s">
        <v>61</v>
      </c>
      <c r="T14" s="1" t="s">
        <v>56</v>
      </c>
      <c r="U14" s="1" t="s">
        <v>175</v>
      </c>
      <c r="V14" s="1" t="s">
        <v>200</v>
      </c>
    </row>
    <row r="15" ht="15.75" customHeight="1">
      <c r="A15" s="8" t="s">
        <v>201</v>
      </c>
      <c r="B15" s="1" t="s">
        <v>204</v>
      </c>
      <c r="C15" s="1">
        <v>4.8</v>
      </c>
      <c r="D15" s="1">
        <v>-512.0</v>
      </c>
      <c r="E15" s="1" t="s">
        <v>192</v>
      </c>
      <c r="F15" s="1" t="s">
        <v>52</v>
      </c>
      <c r="G15" s="1" t="s">
        <v>52</v>
      </c>
      <c r="H15" s="1" t="s">
        <v>54</v>
      </c>
      <c r="I15" s="1" t="s">
        <v>77</v>
      </c>
      <c r="J15" s="1" t="s">
        <v>205</v>
      </c>
      <c r="K15" s="1" t="s">
        <v>206</v>
      </c>
      <c r="L15" s="1" t="s">
        <v>59</v>
      </c>
      <c r="M15" s="1" t="s">
        <v>61</v>
      </c>
      <c r="N15" s="8" t="s">
        <v>63</v>
      </c>
      <c r="O15" s="1" t="s">
        <v>208</v>
      </c>
      <c r="P15" s="1" t="s">
        <v>93</v>
      </c>
      <c r="T15" s="1" t="s">
        <v>52</v>
      </c>
    </row>
    <row r="16" ht="15.75" customHeight="1">
      <c r="A16" s="8" t="s">
        <v>209</v>
      </c>
      <c r="B16" s="1" t="s">
        <v>212</v>
      </c>
      <c r="C16" s="1">
        <v>4.6</v>
      </c>
      <c r="D16" s="1">
        <v>-291.0</v>
      </c>
      <c r="E16" s="1" t="s">
        <v>192</v>
      </c>
      <c r="F16" s="1" t="s">
        <v>52</v>
      </c>
      <c r="G16" s="1" t="s">
        <v>52</v>
      </c>
      <c r="H16" s="1" t="s">
        <v>214</v>
      </c>
      <c r="I16" s="1" t="s">
        <v>54</v>
      </c>
      <c r="J16" s="1" t="s">
        <v>52</v>
      </c>
      <c r="K16" s="1" t="s">
        <v>215</v>
      </c>
      <c r="L16" s="1" t="s">
        <v>91</v>
      </c>
      <c r="M16" s="1" t="s">
        <v>2</v>
      </c>
      <c r="N16" s="8" t="s">
        <v>63</v>
      </c>
      <c r="O16" s="1" t="s">
        <v>217</v>
      </c>
      <c r="P16" s="1" t="s">
        <v>93</v>
      </c>
      <c r="Q16" s="8" t="s">
        <v>219</v>
      </c>
      <c r="R16" s="1" t="s">
        <v>59</v>
      </c>
      <c r="S16" s="1" t="s">
        <v>61</v>
      </c>
      <c r="T16" s="1" t="s">
        <v>220</v>
      </c>
    </row>
    <row r="17" ht="15.75" customHeight="1">
      <c r="A17" s="8" t="s">
        <v>221</v>
      </c>
      <c r="B17" s="1" t="s">
        <v>229</v>
      </c>
      <c r="C17" s="1">
        <v>4.9</v>
      </c>
      <c r="D17" s="1">
        <v>-274.0</v>
      </c>
      <c r="E17" s="1" t="s">
        <v>115</v>
      </c>
      <c r="F17" s="1" t="s">
        <v>52</v>
      </c>
      <c r="G17" s="1" t="s">
        <v>52</v>
      </c>
      <c r="H17" s="1" t="s">
        <v>230</v>
      </c>
      <c r="I17" s="1" t="s">
        <v>54</v>
      </c>
      <c r="J17" s="1" t="s">
        <v>52</v>
      </c>
      <c r="K17" s="1" t="s">
        <v>231</v>
      </c>
      <c r="L17" s="1" t="s">
        <v>91</v>
      </c>
      <c r="M17" s="1" t="s">
        <v>2</v>
      </c>
      <c r="N17" s="8" t="s">
        <v>63</v>
      </c>
      <c r="O17" s="1" t="s">
        <v>112</v>
      </c>
      <c r="P17" s="1" t="s">
        <v>93</v>
      </c>
      <c r="Q17" s="8" t="s">
        <v>232</v>
      </c>
      <c r="R17" s="1" t="s">
        <v>59</v>
      </c>
      <c r="S17" s="1" t="s">
        <v>61</v>
      </c>
      <c r="T17" s="1" t="s">
        <v>236</v>
      </c>
      <c r="U17" s="1" t="s">
        <v>237</v>
      </c>
      <c r="V17" s="1" t="s">
        <v>238</v>
      </c>
    </row>
    <row r="18" ht="15.75" customHeight="1">
      <c r="A18" s="8" t="s">
        <v>239</v>
      </c>
      <c r="B18" s="1" t="s">
        <v>241</v>
      </c>
      <c r="C18" s="1">
        <v>4.4</v>
      </c>
      <c r="D18" s="1">
        <v>-15.0</v>
      </c>
      <c r="E18" s="1" t="s">
        <v>51</v>
      </c>
      <c r="F18" s="1" t="s">
        <v>52</v>
      </c>
      <c r="G18" s="1" t="s">
        <v>242</v>
      </c>
      <c r="H18" s="1" t="s">
        <v>54</v>
      </c>
      <c r="I18" s="1" t="s">
        <v>243</v>
      </c>
      <c r="J18" s="1" t="s">
        <v>52</v>
      </c>
      <c r="K18" s="1" t="s">
        <v>244</v>
      </c>
      <c r="L18" s="1" t="s">
        <v>59</v>
      </c>
      <c r="M18" s="1" t="s">
        <v>61</v>
      </c>
      <c r="N18" s="8" t="s">
        <v>63</v>
      </c>
      <c r="O18" s="1" t="s">
        <v>245</v>
      </c>
    </row>
    <row r="19" ht="15.75" customHeight="1">
      <c r="A19" s="8" t="s">
        <v>246</v>
      </c>
      <c r="B19" s="1" t="s">
        <v>249</v>
      </c>
      <c r="C19" s="1">
        <v>4.9</v>
      </c>
      <c r="D19" s="1">
        <v>-537.0</v>
      </c>
      <c r="E19" s="1" t="s">
        <v>51</v>
      </c>
      <c r="F19" s="1" t="s">
        <v>52</v>
      </c>
      <c r="G19" s="1" t="s">
        <v>52</v>
      </c>
      <c r="H19" s="1" t="s">
        <v>252</v>
      </c>
      <c r="I19" s="1" t="s">
        <v>54</v>
      </c>
      <c r="J19" s="1" t="s">
        <v>52</v>
      </c>
      <c r="K19" s="1" t="s">
        <v>253</v>
      </c>
      <c r="L19" s="1" t="s">
        <v>91</v>
      </c>
      <c r="M19" s="1" t="s">
        <v>2</v>
      </c>
      <c r="N19" s="8" t="s">
        <v>63</v>
      </c>
      <c r="O19" s="1" t="s">
        <v>112</v>
      </c>
      <c r="P19" s="1" t="s">
        <v>93</v>
      </c>
      <c r="Q19" s="8" t="s">
        <v>255</v>
      </c>
      <c r="R19" s="1" t="s">
        <v>59</v>
      </c>
      <c r="S19" s="1" t="s">
        <v>61</v>
      </c>
      <c r="T19" s="1" t="s">
        <v>256</v>
      </c>
      <c r="U19" s="1" t="s">
        <v>130</v>
      </c>
      <c r="V19" s="1" t="s">
        <v>258</v>
      </c>
    </row>
    <row r="20" ht="15.75" customHeight="1">
      <c r="A20" s="8" t="s">
        <v>254</v>
      </c>
      <c r="B20" s="1" t="s">
        <v>250</v>
      </c>
      <c r="E20" s="1" t="s">
        <v>192</v>
      </c>
      <c r="F20" s="1" t="s">
        <v>52</v>
      </c>
      <c r="G20" s="1" t="s">
        <v>257</v>
      </c>
      <c r="I20" s="1" t="s">
        <v>54</v>
      </c>
      <c r="L20" s="1" t="s">
        <v>91</v>
      </c>
      <c r="M20" s="1" t="s">
        <v>2</v>
      </c>
      <c r="Q20" s="8" t="s">
        <v>248</v>
      </c>
      <c r="R20" s="1" t="s">
        <v>59</v>
      </c>
      <c r="S20" s="1" t="s">
        <v>61</v>
      </c>
      <c r="T20" s="1" t="s">
        <v>236</v>
      </c>
    </row>
    <row r="21" ht="15.75" customHeight="1">
      <c r="A21" s="8" t="s">
        <v>264</v>
      </c>
      <c r="B21" s="1" t="s">
        <v>269</v>
      </c>
      <c r="C21" s="1">
        <v>5.0</v>
      </c>
      <c r="D21" s="1">
        <v>-23.0</v>
      </c>
      <c r="E21" s="1" t="s">
        <v>192</v>
      </c>
      <c r="F21" s="1" t="s">
        <v>52</v>
      </c>
      <c r="G21" s="1" t="s">
        <v>270</v>
      </c>
      <c r="H21" s="1" t="s">
        <v>54</v>
      </c>
      <c r="I21" s="1" t="s">
        <v>236</v>
      </c>
      <c r="J21" s="1" t="s">
        <v>52</v>
      </c>
      <c r="K21" s="1" t="s">
        <v>273</v>
      </c>
      <c r="L21" s="1" t="s">
        <v>59</v>
      </c>
      <c r="M21" s="1" t="s">
        <v>61</v>
      </c>
      <c r="N21" s="8" t="s">
        <v>63</v>
      </c>
      <c r="O21" s="1" t="s">
        <v>274</v>
      </c>
    </row>
    <row r="22" ht="15.75" customHeight="1">
      <c r="A22" s="8" t="s">
        <v>275</v>
      </c>
      <c r="B22" s="1" t="s">
        <v>277</v>
      </c>
      <c r="C22" s="1">
        <v>4.1</v>
      </c>
      <c r="D22" s="13">
        <v>-1737.0</v>
      </c>
      <c r="E22" s="1" t="s">
        <v>278</v>
      </c>
      <c r="F22" s="1" t="s">
        <v>52</v>
      </c>
      <c r="G22" s="1" t="s">
        <v>52</v>
      </c>
      <c r="H22" s="1" t="s">
        <v>282</v>
      </c>
      <c r="I22" s="1" t="s">
        <v>89</v>
      </c>
      <c r="J22" s="1" t="s">
        <v>52</v>
      </c>
      <c r="K22" s="1" t="s">
        <v>284</v>
      </c>
      <c r="L22" s="1" t="s">
        <v>91</v>
      </c>
      <c r="M22" s="1" t="s">
        <v>2</v>
      </c>
      <c r="N22" s="8" t="s">
        <v>63</v>
      </c>
      <c r="O22" s="1" t="s">
        <v>286</v>
      </c>
      <c r="P22" s="1" t="s">
        <v>93</v>
      </c>
      <c r="Q22" s="8" t="s">
        <v>287</v>
      </c>
      <c r="R22" s="1" t="s">
        <v>59</v>
      </c>
      <c r="S22" s="1" t="s">
        <v>61</v>
      </c>
      <c r="U22" s="1" t="s">
        <v>175</v>
      </c>
      <c r="V22" s="1" t="s">
        <v>288</v>
      </c>
    </row>
    <row r="23" ht="15.75" customHeight="1">
      <c r="A23" s="8" t="s">
        <v>289</v>
      </c>
      <c r="B23" s="1" t="s">
        <v>293</v>
      </c>
      <c r="C23" s="1">
        <v>4.5</v>
      </c>
      <c r="D23" s="13">
        <v>-1794.0</v>
      </c>
      <c r="E23" s="1" t="s">
        <v>278</v>
      </c>
      <c r="F23" s="1" t="s">
        <v>52</v>
      </c>
      <c r="G23" s="1" t="s">
        <v>52</v>
      </c>
      <c r="H23" s="1" t="s">
        <v>294</v>
      </c>
      <c r="I23" s="1" t="s">
        <v>89</v>
      </c>
      <c r="J23" s="1" t="s">
        <v>52</v>
      </c>
      <c r="K23" s="1" t="s">
        <v>295</v>
      </c>
      <c r="L23" s="1" t="s">
        <v>91</v>
      </c>
      <c r="M23" s="1" t="s">
        <v>2</v>
      </c>
      <c r="N23" s="8" t="s">
        <v>63</v>
      </c>
      <c r="O23" s="1" t="s">
        <v>296</v>
      </c>
      <c r="P23" s="1" t="s">
        <v>93</v>
      </c>
      <c r="Q23" s="8" t="s">
        <v>297</v>
      </c>
      <c r="R23" s="1" t="s">
        <v>59</v>
      </c>
      <c r="S23" s="1" t="s">
        <v>61</v>
      </c>
      <c r="U23" s="1" t="s">
        <v>237</v>
      </c>
      <c r="V23" s="1" t="s">
        <v>302</v>
      </c>
    </row>
    <row r="24" ht="15.75" customHeight="1">
      <c r="A24" s="8" t="s">
        <v>303</v>
      </c>
      <c r="B24" s="1" t="s">
        <v>307</v>
      </c>
      <c r="C24" s="1">
        <v>4.6</v>
      </c>
      <c r="D24" s="13">
        <v>-1050.0</v>
      </c>
      <c r="E24" s="1" t="s">
        <v>308</v>
      </c>
      <c r="F24" s="1" t="s">
        <v>52</v>
      </c>
      <c r="G24" s="1" t="s">
        <v>52</v>
      </c>
      <c r="H24" s="1" t="s">
        <v>310</v>
      </c>
      <c r="I24" s="1" t="s">
        <v>54</v>
      </c>
      <c r="J24" s="1" t="s">
        <v>52</v>
      </c>
      <c r="K24" s="1" t="s">
        <v>311</v>
      </c>
      <c r="L24" s="1" t="s">
        <v>91</v>
      </c>
      <c r="M24" s="1" t="s">
        <v>2</v>
      </c>
      <c r="N24" s="8" t="s">
        <v>63</v>
      </c>
      <c r="O24" s="1" t="s">
        <v>312</v>
      </c>
      <c r="P24" s="1" t="s">
        <v>93</v>
      </c>
      <c r="Q24" s="8" t="s">
        <v>313</v>
      </c>
      <c r="R24" s="1" t="s">
        <v>59</v>
      </c>
      <c r="S24" s="1" t="s">
        <v>61</v>
      </c>
      <c r="T24" s="1" t="s">
        <v>236</v>
      </c>
    </row>
    <row r="25" ht="15.75" customHeight="1">
      <c r="A25" s="8" t="s">
        <v>318</v>
      </c>
      <c r="B25" s="1" t="s">
        <v>321</v>
      </c>
      <c r="C25" s="1">
        <v>4.9</v>
      </c>
      <c r="D25" s="1">
        <v>-130.0</v>
      </c>
      <c r="E25" s="1" t="s">
        <v>322</v>
      </c>
      <c r="F25" s="1" t="s">
        <v>52</v>
      </c>
      <c r="G25" s="1" t="s">
        <v>323</v>
      </c>
      <c r="H25" s="1" t="s">
        <v>52</v>
      </c>
      <c r="I25" s="1" t="s">
        <v>89</v>
      </c>
      <c r="K25" s="1" t="s">
        <v>325</v>
      </c>
      <c r="L25" s="1" t="s">
        <v>91</v>
      </c>
      <c r="M25" s="1" t="s">
        <v>2</v>
      </c>
      <c r="N25" s="8" t="s">
        <v>63</v>
      </c>
      <c r="O25" s="1" t="s">
        <v>326</v>
      </c>
      <c r="Q25" s="8" t="s">
        <v>327</v>
      </c>
      <c r="R25" s="1" t="s">
        <v>59</v>
      </c>
      <c r="S25" s="1" t="s">
        <v>61</v>
      </c>
      <c r="U25" s="1" t="s">
        <v>328</v>
      </c>
      <c r="V25" s="1" t="s">
        <v>329</v>
      </c>
    </row>
    <row r="26" ht="15.75" customHeight="1">
      <c r="A26" s="8" t="s">
        <v>331</v>
      </c>
      <c r="B26" s="1" t="s">
        <v>337</v>
      </c>
      <c r="C26" s="1">
        <v>5.0</v>
      </c>
      <c r="D26" s="1">
        <v>-110.0</v>
      </c>
      <c r="E26" s="1" t="s">
        <v>338</v>
      </c>
      <c r="F26" s="1" t="s">
        <v>52</v>
      </c>
      <c r="G26" s="1" t="s">
        <v>52</v>
      </c>
      <c r="H26" s="1" t="s">
        <v>340</v>
      </c>
      <c r="I26" s="1" t="s">
        <v>54</v>
      </c>
      <c r="J26" s="1" t="s">
        <v>52</v>
      </c>
      <c r="K26" s="1" t="s">
        <v>341</v>
      </c>
      <c r="L26" s="1" t="s">
        <v>91</v>
      </c>
      <c r="M26" s="1" t="s">
        <v>2</v>
      </c>
      <c r="N26" s="8" t="s">
        <v>63</v>
      </c>
      <c r="O26" s="1" t="s">
        <v>112</v>
      </c>
      <c r="P26" s="1" t="s">
        <v>93</v>
      </c>
      <c r="Q26" s="8" t="s">
        <v>342</v>
      </c>
      <c r="R26" s="1" t="s">
        <v>59</v>
      </c>
      <c r="S26" s="1" t="s">
        <v>61</v>
      </c>
      <c r="T26" s="1" t="s">
        <v>56</v>
      </c>
      <c r="U26" s="1" t="s">
        <v>130</v>
      </c>
      <c r="V26" s="1" t="s">
        <v>346</v>
      </c>
    </row>
    <row r="27" ht="15.75" customHeight="1">
      <c r="A27" s="8" t="s">
        <v>347</v>
      </c>
      <c r="B27" s="1" t="s">
        <v>351</v>
      </c>
      <c r="C27" s="1">
        <v>4.8</v>
      </c>
      <c r="D27" s="1">
        <v>-25.0</v>
      </c>
      <c r="E27" s="1" t="s">
        <v>74</v>
      </c>
      <c r="F27" s="1" t="s">
        <v>52</v>
      </c>
      <c r="G27" s="1" t="s">
        <v>352</v>
      </c>
      <c r="H27" s="1" t="s">
        <v>54</v>
      </c>
      <c r="I27" s="1" t="s">
        <v>353</v>
      </c>
      <c r="J27" s="1" t="s">
        <v>52</v>
      </c>
      <c r="K27" s="1" t="s">
        <v>354</v>
      </c>
      <c r="L27" s="1" t="s">
        <v>59</v>
      </c>
      <c r="M27" s="1" t="s">
        <v>61</v>
      </c>
      <c r="N27" s="8" t="s">
        <v>63</v>
      </c>
      <c r="O27" s="1" t="s">
        <v>358</v>
      </c>
      <c r="U27" s="1" t="s">
        <v>130</v>
      </c>
      <c r="V27" s="1" t="s">
        <v>360</v>
      </c>
    </row>
    <row r="28" ht="15.75" customHeight="1">
      <c r="A28" s="8" t="s">
        <v>361</v>
      </c>
      <c r="B28" s="1" t="s">
        <v>365</v>
      </c>
      <c r="C28" s="1">
        <v>5.0</v>
      </c>
      <c r="D28" s="1">
        <v>-18.0</v>
      </c>
      <c r="E28" s="1" t="s">
        <v>366</v>
      </c>
      <c r="F28" s="1" t="s">
        <v>52</v>
      </c>
      <c r="G28" s="1" t="s">
        <v>369</v>
      </c>
      <c r="H28" s="1" t="s">
        <v>52</v>
      </c>
      <c r="I28" s="1" t="s">
        <v>371</v>
      </c>
      <c r="K28" s="1" t="s">
        <v>372</v>
      </c>
      <c r="L28" s="1" t="s">
        <v>91</v>
      </c>
      <c r="M28" s="1" t="s">
        <v>2</v>
      </c>
      <c r="N28" s="8" t="s">
        <v>63</v>
      </c>
      <c r="O28" s="1" t="s">
        <v>112</v>
      </c>
      <c r="Q28" s="8" t="s">
        <v>374</v>
      </c>
      <c r="R28" s="1" t="s">
        <v>59</v>
      </c>
      <c r="S28" s="1" t="s">
        <v>61</v>
      </c>
      <c r="T28" s="1" t="s">
        <v>377</v>
      </c>
      <c r="U28" s="1" t="s">
        <v>328</v>
      </c>
      <c r="V28" s="1" t="s">
        <v>378</v>
      </c>
    </row>
    <row r="29" ht="15.75" customHeight="1">
      <c r="A29" s="8" t="s">
        <v>379</v>
      </c>
      <c r="B29" s="1" t="s">
        <v>382</v>
      </c>
      <c r="C29" s="1">
        <v>5.0</v>
      </c>
      <c r="D29" s="1">
        <v>-1.0</v>
      </c>
      <c r="E29" s="1" t="s">
        <v>51</v>
      </c>
      <c r="F29" s="1" t="s">
        <v>52</v>
      </c>
      <c r="G29" s="1" t="s">
        <v>383</v>
      </c>
      <c r="H29" s="1" t="s">
        <v>89</v>
      </c>
      <c r="L29" s="1" t="s">
        <v>59</v>
      </c>
      <c r="M29" s="1" t="s">
        <v>61</v>
      </c>
    </row>
    <row r="30" ht="15.75" customHeight="1">
      <c r="A30" s="8" t="s">
        <v>385</v>
      </c>
      <c r="B30" s="1" t="s">
        <v>388</v>
      </c>
      <c r="C30" s="1">
        <v>4.9</v>
      </c>
      <c r="D30" s="1">
        <v>-286.0</v>
      </c>
      <c r="E30" s="1" t="s">
        <v>51</v>
      </c>
      <c r="F30" s="1" t="s">
        <v>52</v>
      </c>
      <c r="G30" s="1" t="s">
        <v>390</v>
      </c>
      <c r="H30" s="1" t="s">
        <v>52</v>
      </c>
      <c r="I30" s="1" t="s">
        <v>54</v>
      </c>
      <c r="K30" s="1" t="s">
        <v>391</v>
      </c>
      <c r="L30" s="1" t="s">
        <v>91</v>
      </c>
      <c r="M30" s="1" t="s">
        <v>2</v>
      </c>
      <c r="N30" s="8" t="s">
        <v>63</v>
      </c>
      <c r="O30" s="1" t="s">
        <v>392</v>
      </c>
      <c r="Q30" s="8" t="s">
        <v>393</v>
      </c>
      <c r="R30" s="1" t="s">
        <v>59</v>
      </c>
      <c r="S30" s="1" t="s">
        <v>61</v>
      </c>
      <c r="T30" s="1" t="s">
        <v>220</v>
      </c>
    </row>
    <row r="31" ht="15.75" customHeight="1">
      <c r="A31" s="8" t="s">
        <v>394</v>
      </c>
      <c r="B31" s="1" t="s">
        <v>397</v>
      </c>
      <c r="C31" s="1">
        <v>4.6</v>
      </c>
      <c r="D31" s="1">
        <v>-131.0</v>
      </c>
      <c r="E31" s="1" t="s">
        <v>322</v>
      </c>
      <c r="F31" s="1" t="s">
        <v>52</v>
      </c>
      <c r="G31" s="1" t="s">
        <v>52</v>
      </c>
      <c r="H31" s="1" t="s">
        <v>398</v>
      </c>
      <c r="I31" s="1" t="s">
        <v>54</v>
      </c>
      <c r="J31" s="1" t="s">
        <v>52</v>
      </c>
      <c r="K31" s="1" t="s">
        <v>399</v>
      </c>
      <c r="L31" s="1" t="s">
        <v>91</v>
      </c>
      <c r="M31" s="1" t="s">
        <v>2</v>
      </c>
      <c r="N31" s="8" t="s">
        <v>63</v>
      </c>
      <c r="O31" s="1" t="s">
        <v>400</v>
      </c>
      <c r="P31" s="1" t="s">
        <v>401</v>
      </c>
      <c r="Q31" s="8" t="s">
        <v>402</v>
      </c>
      <c r="R31" s="1" t="s">
        <v>59</v>
      </c>
      <c r="S31" s="1" t="s">
        <v>61</v>
      </c>
      <c r="T31" s="1" t="s">
        <v>256</v>
      </c>
      <c r="U31" s="1" t="s">
        <v>74</v>
      </c>
      <c r="V31" s="1" t="s">
        <v>409</v>
      </c>
    </row>
    <row r="32" ht="15.75" customHeight="1">
      <c r="A32" s="8" t="s">
        <v>410</v>
      </c>
      <c r="B32" s="1" t="s">
        <v>414</v>
      </c>
      <c r="C32" s="1">
        <v>5.0</v>
      </c>
      <c r="D32" s="1">
        <v>-54.0</v>
      </c>
      <c r="E32" s="1" t="s">
        <v>192</v>
      </c>
      <c r="F32" s="1" t="s">
        <v>52</v>
      </c>
      <c r="G32" s="1" t="s">
        <v>415</v>
      </c>
      <c r="H32" s="1" t="s">
        <v>52</v>
      </c>
      <c r="I32" s="1" t="s">
        <v>54</v>
      </c>
      <c r="K32" s="1" t="s">
        <v>416</v>
      </c>
      <c r="L32" s="1" t="s">
        <v>91</v>
      </c>
      <c r="M32" s="1" t="s">
        <v>2</v>
      </c>
      <c r="N32" s="8" t="s">
        <v>63</v>
      </c>
      <c r="O32" s="1" t="s">
        <v>195</v>
      </c>
      <c r="Q32" s="8" t="s">
        <v>417</v>
      </c>
      <c r="R32" s="1" t="s">
        <v>59</v>
      </c>
      <c r="S32" s="1" t="s">
        <v>61</v>
      </c>
      <c r="T32" s="1" t="s">
        <v>220</v>
      </c>
      <c r="U32" s="1" t="s">
        <v>237</v>
      </c>
      <c r="V32" s="1" t="s">
        <v>421</v>
      </c>
    </row>
    <row r="33" ht="15.75" customHeight="1">
      <c r="A33" s="8" t="s">
        <v>422</v>
      </c>
      <c r="B33" s="1" t="s">
        <v>425</v>
      </c>
      <c r="C33" s="1">
        <v>4.9</v>
      </c>
      <c r="D33" s="1">
        <v>-118.0</v>
      </c>
      <c r="E33" s="1" t="s">
        <v>330</v>
      </c>
      <c r="F33" s="1" t="s">
        <v>52</v>
      </c>
      <c r="G33" s="1" t="s">
        <v>52</v>
      </c>
      <c r="H33" s="1" t="s">
        <v>426</v>
      </c>
      <c r="I33" s="1" t="s">
        <v>54</v>
      </c>
      <c r="J33" s="1" t="s">
        <v>52</v>
      </c>
      <c r="K33" s="1" t="s">
        <v>427</v>
      </c>
      <c r="L33" s="1" t="s">
        <v>91</v>
      </c>
      <c r="M33" s="1" t="s">
        <v>2</v>
      </c>
      <c r="N33" s="8" t="s">
        <v>63</v>
      </c>
      <c r="O33" s="1" t="s">
        <v>112</v>
      </c>
      <c r="P33" s="1" t="s">
        <v>93</v>
      </c>
      <c r="Q33" s="8" t="s">
        <v>431</v>
      </c>
      <c r="R33" s="1" t="s">
        <v>59</v>
      </c>
      <c r="S33" s="1" t="s">
        <v>61</v>
      </c>
      <c r="T33" s="1" t="s">
        <v>236</v>
      </c>
      <c r="U33" s="1" t="s">
        <v>130</v>
      </c>
      <c r="V33" s="1" t="s">
        <v>433</v>
      </c>
    </row>
    <row r="34" ht="15.75" customHeight="1">
      <c r="A34" s="8" t="s">
        <v>434</v>
      </c>
      <c r="B34" s="1" t="s">
        <v>436</v>
      </c>
      <c r="C34" s="1">
        <v>5.0</v>
      </c>
      <c r="D34" s="1">
        <v>-1.0</v>
      </c>
      <c r="E34" s="1" t="s">
        <v>51</v>
      </c>
      <c r="F34" s="1" t="s">
        <v>52</v>
      </c>
      <c r="G34" s="1" t="s">
        <v>437</v>
      </c>
      <c r="H34" s="1" t="s">
        <v>54</v>
      </c>
      <c r="I34" s="1" t="s">
        <v>56</v>
      </c>
      <c r="J34" s="1" t="s">
        <v>52</v>
      </c>
      <c r="K34" s="1" t="s">
        <v>440</v>
      </c>
      <c r="L34" s="1" t="s">
        <v>59</v>
      </c>
      <c r="M34" s="1" t="s">
        <v>61</v>
      </c>
    </row>
    <row r="35" ht="15.75" customHeight="1">
      <c r="A35" s="8" t="s">
        <v>441</v>
      </c>
      <c r="B35" s="1" t="s">
        <v>443</v>
      </c>
      <c r="C35" s="1">
        <v>5.0</v>
      </c>
      <c r="D35" s="1">
        <v>-1.0</v>
      </c>
      <c r="E35" s="1" t="s">
        <v>74</v>
      </c>
      <c r="G35" s="1" t="s">
        <v>52</v>
      </c>
      <c r="H35" s="1" t="s">
        <v>54</v>
      </c>
      <c r="I35" s="1" t="s">
        <v>105</v>
      </c>
      <c r="K35" s="1" t="s">
        <v>447</v>
      </c>
      <c r="L35" s="1" t="s">
        <v>59</v>
      </c>
      <c r="M35" s="1" t="s">
        <v>61</v>
      </c>
    </row>
    <row r="36" ht="15.75" customHeight="1">
      <c r="A36" s="8" t="s">
        <v>448</v>
      </c>
      <c r="B36" s="1" t="s">
        <v>451</v>
      </c>
      <c r="C36" s="1">
        <v>5.0</v>
      </c>
      <c r="D36" s="1">
        <v>-26.0</v>
      </c>
      <c r="E36" s="1" t="s">
        <v>51</v>
      </c>
      <c r="F36" s="1" t="s">
        <v>52</v>
      </c>
      <c r="G36" s="1" t="s">
        <v>452</v>
      </c>
      <c r="H36" s="1" t="s">
        <v>54</v>
      </c>
      <c r="I36" s="1" t="s">
        <v>56</v>
      </c>
      <c r="J36" s="1" t="s">
        <v>52</v>
      </c>
      <c r="K36" s="1" t="s">
        <v>453</v>
      </c>
      <c r="L36" s="1" t="s">
        <v>59</v>
      </c>
      <c r="M36" s="1" t="s">
        <v>61</v>
      </c>
      <c r="N36" s="8" t="s">
        <v>63</v>
      </c>
      <c r="O36" s="1" t="s">
        <v>454</v>
      </c>
      <c r="U36" s="1" t="s">
        <v>455</v>
      </c>
      <c r="V36" s="1" t="s">
        <v>457</v>
      </c>
    </row>
    <row r="37" ht="15.75" customHeight="1">
      <c r="A37" s="8" t="s">
        <v>460</v>
      </c>
      <c r="B37" s="1" t="s">
        <v>464</v>
      </c>
      <c r="C37" s="1">
        <v>4.6</v>
      </c>
      <c r="D37" s="1">
        <v>-67.0</v>
      </c>
      <c r="E37" s="1" t="s">
        <v>466</v>
      </c>
      <c r="F37" s="1" t="s">
        <v>52</v>
      </c>
      <c r="G37" s="1" t="s">
        <v>52</v>
      </c>
      <c r="H37" s="1" t="s">
        <v>54</v>
      </c>
      <c r="I37" s="1" t="s">
        <v>236</v>
      </c>
      <c r="J37" s="1" t="s">
        <v>467</v>
      </c>
      <c r="K37" s="1" t="s">
        <v>468</v>
      </c>
      <c r="L37" s="1" t="s">
        <v>59</v>
      </c>
      <c r="M37" s="1" t="s">
        <v>61</v>
      </c>
      <c r="N37" s="8" t="s">
        <v>63</v>
      </c>
      <c r="O37" s="1" t="s">
        <v>469</v>
      </c>
      <c r="P37" s="1" t="s">
        <v>93</v>
      </c>
      <c r="T37" s="1" t="s">
        <v>52</v>
      </c>
    </row>
    <row r="38" ht="15.75" customHeight="1">
      <c r="A38" s="8" t="s">
        <v>413</v>
      </c>
      <c r="B38" s="1" t="s">
        <v>411</v>
      </c>
      <c r="C38" s="1">
        <v>4.7</v>
      </c>
      <c r="D38" s="1">
        <v>-41.0</v>
      </c>
      <c r="E38" s="1" t="s">
        <v>51</v>
      </c>
      <c r="F38" s="1" t="s">
        <v>52</v>
      </c>
      <c r="G38" s="1" t="s">
        <v>52</v>
      </c>
      <c r="H38" s="1" t="s">
        <v>418</v>
      </c>
      <c r="I38" s="1" t="s">
        <v>54</v>
      </c>
      <c r="J38" s="1" t="s">
        <v>52</v>
      </c>
      <c r="K38" s="1" t="s">
        <v>419</v>
      </c>
      <c r="L38" s="1" t="s">
        <v>91</v>
      </c>
      <c r="M38" s="1" t="s">
        <v>2</v>
      </c>
      <c r="N38" s="8" t="s">
        <v>63</v>
      </c>
      <c r="O38" s="1" t="s">
        <v>475</v>
      </c>
      <c r="P38" s="1" t="s">
        <v>93</v>
      </c>
      <c r="Q38" s="8" t="s">
        <v>408</v>
      </c>
      <c r="R38" s="1" t="s">
        <v>59</v>
      </c>
      <c r="S38" s="1" t="s">
        <v>61</v>
      </c>
      <c r="T38" s="1" t="s">
        <v>56</v>
      </c>
    </row>
    <row r="39" ht="15.75" customHeight="1">
      <c r="A39" s="8" t="s">
        <v>478</v>
      </c>
      <c r="B39" s="1" t="s">
        <v>483</v>
      </c>
      <c r="C39" s="1">
        <v>5.0</v>
      </c>
      <c r="D39" s="1">
        <v>-11.0</v>
      </c>
      <c r="E39" s="1" t="s">
        <v>102</v>
      </c>
      <c r="F39" s="1" t="s">
        <v>52</v>
      </c>
      <c r="G39" s="1" t="s">
        <v>484</v>
      </c>
      <c r="H39" s="1" t="s">
        <v>54</v>
      </c>
      <c r="I39" s="1" t="s">
        <v>56</v>
      </c>
      <c r="J39" s="1" t="s">
        <v>52</v>
      </c>
      <c r="K39" s="1" t="s">
        <v>487</v>
      </c>
      <c r="L39" s="1" t="s">
        <v>59</v>
      </c>
      <c r="M39" s="1" t="s">
        <v>61</v>
      </c>
      <c r="N39" s="8" t="s">
        <v>63</v>
      </c>
      <c r="O39" s="1" t="s">
        <v>167</v>
      </c>
    </row>
    <row r="40" ht="15.75" customHeight="1">
      <c r="A40" s="8" t="s">
        <v>488</v>
      </c>
      <c r="B40" s="1" t="s">
        <v>491</v>
      </c>
      <c r="C40" s="1">
        <v>4.9</v>
      </c>
      <c r="D40" s="1">
        <v>-455.0</v>
      </c>
      <c r="E40" s="1" t="s">
        <v>115</v>
      </c>
      <c r="F40" s="1" t="s">
        <v>52</v>
      </c>
      <c r="G40" s="1" t="s">
        <v>492</v>
      </c>
      <c r="H40" s="1" t="s">
        <v>52</v>
      </c>
      <c r="I40" s="1" t="s">
        <v>54</v>
      </c>
      <c r="K40" s="1" t="s">
        <v>493</v>
      </c>
      <c r="L40" s="1" t="s">
        <v>91</v>
      </c>
      <c r="M40" s="1" t="s">
        <v>2</v>
      </c>
      <c r="N40" s="8" t="s">
        <v>63</v>
      </c>
      <c r="O40" s="1" t="s">
        <v>112</v>
      </c>
      <c r="Q40" s="8" t="s">
        <v>497</v>
      </c>
      <c r="R40" s="1" t="s">
        <v>59</v>
      </c>
      <c r="S40" s="1" t="s">
        <v>61</v>
      </c>
      <c r="T40" s="1" t="s">
        <v>256</v>
      </c>
      <c r="U40" s="1" t="s">
        <v>130</v>
      </c>
      <c r="V40" s="1" t="s">
        <v>500</v>
      </c>
    </row>
    <row r="41" ht="15.75" customHeight="1">
      <c r="A41" s="8" t="s">
        <v>501</v>
      </c>
      <c r="B41" s="1" t="s">
        <v>505</v>
      </c>
      <c r="C41" s="1">
        <v>4.9</v>
      </c>
      <c r="D41" s="1">
        <v>-111.0</v>
      </c>
      <c r="E41" s="1" t="s">
        <v>51</v>
      </c>
      <c r="F41" s="1" t="s">
        <v>52</v>
      </c>
      <c r="G41" s="1" t="s">
        <v>52</v>
      </c>
      <c r="H41" s="1" t="s">
        <v>506</v>
      </c>
      <c r="I41" s="1" t="s">
        <v>54</v>
      </c>
      <c r="J41" s="1" t="s">
        <v>52</v>
      </c>
      <c r="K41" s="1" t="s">
        <v>507</v>
      </c>
      <c r="L41" s="1" t="s">
        <v>91</v>
      </c>
      <c r="M41" s="1" t="s">
        <v>2</v>
      </c>
      <c r="N41" s="8" t="s">
        <v>63</v>
      </c>
      <c r="O41" s="1" t="s">
        <v>188</v>
      </c>
      <c r="P41" s="1" t="s">
        <v>93</v>
      </c>
      <c r="Q41" s="8" t="s">
        <v>508</v>
      </c>
      <c r="R41" s="1" t="s">
        <v>59</v>
      </c>
      <c r="S41" s="1" t="s">
        <v>61</v>
      </c>
      <c r="T41" s="1" t="s">
        <v>56</v>
      </c>
    </row>
    <row r="42" ht="15.75" customHeight="1">
      <c r="A42" s="8" t="s">
        <v>157</v>
      </c>
      <c r="B42" s="1" t="s">
        <v>156</v>
      </c>
      <c r="C42" s="1">
        <v>4.5</v>
      </c>
      <c r="D42" s="1">
        <v>-10.0</v>
      </c>
      <c r="E42" s="1" t="s">
        <v>74</v>
      </c>
      <c r="F42" s="1" t="s">
        <v>52</v>
      </c>
      <c r="G42" s="1" t="s">
        <v>164</v>
      </c>
      <c r="H42" s="1" t="s">
        <v>54</v>
      </c>
      <c r="I42" s="1" t="s">
        <v>77</v>
      </c>
      <c r="J42" s="1" t="s">
        <v>52</v>
      </c>
      <c r="K42" s="1" t="s">
        <v>165</v>
      </c>
      <c r="L42" s="1" t="s">
        <v>59</v>
      </c>
      <c r="M42" s="1" t="s">
        <v>61</v>
      </c>
    </row>
    <row r="43" ht="15.75" customHeight="1">
      <c r="A43" s="8" t="s">
        <v>516</v>
      </c>
      <c r="B43" s="1" t="s">
        <v>519</v>
      </c>
      <c r="C43" s="1">
        <v>5.0</v>
      </c>
      <c r="D43" s="13">
        <v>-1074.0</v>
      </c>
      <c r="E43" s="1" t="s">
        <v>520</v>
      </c>
      <c r="F43" s="1" t="s">
        <v>52</v>
      </c>
      <c r="G43" s="1" t="s">
        <v>52</v>
      </c>
      <c r="H43" s="1" t="s">
        <v>524</v>
      </c>
      <c r="I43" s="1" t="s">
        <v>54</v>
      </c>
      <c r="J43" s="1" t="s">
        <v>52</v>
      </c>
      <c r="K43" s="1" t="s">
        <v>525</v>
      </c>
      <c r="L43" s="1" t="s">
        <v>91</v>
      </c>
      <c r="M43" s="1" t="s">
        <v>2</v>
      </c>
      <c r="N43" s="8" t="s">
        <v>63</v>
      </c>
      <c r="O43" s="1" t="s">
        <v>527</v>
      </c>
      <c r="P43" s="1" t="s">
        <v>93</v>
      </c>
      <c r="Q43" s="8" t="s">
        <v>528</v>
      </c>
      <c r="R43" s="1" t="s">
        <v>59</v>
      </c>
      <c r="S43" s="1" t="s">
        <v>61</v>
      </c>
      <c r="T43" s="1" t="s">
        <v>256</v>
      </c>
    </row>
    <row r="44" ht="15.75" customHeight="1">
      <c r="A44" s="8" t="s">
        <v>179</v>
      </c>
      <c r="B44" s="1" t="s">
        <v>174</v>
      </c>
      <c r="C44" s="1">
        <v>4.9</v>
      </c>
      <c r="D44" s="1">
        <v>-580.0</v>
      </c>
      <c r="E44" s="1" t="s">
        <v>184</v>
      </c>
      <c r="F44" s="1" t="s">
        <v>52</v>
      </c>
      <c r="G44" s="1" t="s">
        <v>185</v>
      </c>
      <c r="H44" s="1" t="s">
        <v>122</v>
      </c>
      <c r="I44" s="1" t="s">
        <v>536</v>
      </c>
      <c r="J44" s="1" t="s">
        <v>52</v>
      </c>
      <c r="K44" s="1" t="s">
        <v>187</v>
      </c>
      <c r="L44" s="1" t="s">
        <v>91</v>
      </c>
      <c r="M44" s="1" t="s">
        <v>2</v>
      </c>
      <c r="Q44" s="8" t="s">
        <v>168</v>
      </c>
      <c r="R44" s="1" t="s">
        <v>59</v>
      </c>
      <c r="S44" s="1" t="s">
        <v>61</v>
      </c>
    </row>
    <row r="45" ht="15.75" customHeight="1">
      <c r="A45" s="8" t="s">
        <v>207</v>
      </c>
      <c r="B45" s="1" t="s">
        <v>202</v>
      </c>
      <c r="C45" s="1">
        <v>4.9</v>
      </c>
      <c r="D45" s="13">
        <v>-2924.0</v>
      </c>
      <c r="E45" s="1" t="s">
        <v>86</v>
      </c>
      <c r="F45" s="1" t="s">
        <v>52</v>
      </c>
      <c r="G45" s="1" t="s">
        <v>210</v>
      </c>
      <c r="H45" s="1" t="s">
        <v>54</v>
      </c>
      <c r="I45" s="1" t="s">
        <v>236</v>
      </c>
      <c r="J45" s="1" t="s">
        <v>52</v>
      </c>
      <c r="K45" s="1" t="s">
        <v>211</v>
      </c>
      <c r="L45" s="1" t="s">
        <v>91</v>
      </c>
      <c r="M45" s="1" t="s">
        <v>2</v>
      </c>
      <c r="Q45" s="8" t="s">
        <v>199</v>
      </c>
      <c r="R45" s="1" t="s">
        <v>59</v>
      </c>
      <c r="S45" s="1" t="s">
        <v>61</v>
      </c>
    </row>
    <row r="46" ht="15.75" customHeight="1">
      <c r="A46" s="8" t="s">
        <v>558</v>
      </c>
      <c r="B46" s="1" t="s">
        <v>561</v>
      </c>
      <c r="C46" s="1">
        <v>3.9</v>
      </c>
      <c r="D46" s="1">
        <v>-14.0</v>
      </c>
      <c r="E46" s="1" t="s">
        <v>51</v>
      </c>
      <c r="F46" s="1" t="s">
        <v>52</v>
      </c>
      <c r="G46" s="1">
        <v>55.0</v>
      </c>
      <c r="H46" s="1" t="s">
        <v>54</v>
      </c>
      <c r="I46" s="1" t="s">
        <v>56</v>
      </c>
      <c r="J46" s="1" t="s">
        <v>52</v>
      </c>
      <c r="K46" s="1" t="s">
        <v>564</v>
      </c>
      <c r="L46" s="1" t="s">
        <v>59</v>
      </c>
      <c r="M46" s="1" t="s">
        <v>61</v>
      </c>
      <c r="N46" s="8" t="s">
        <v>63</v>
      </c>
      <c r="O46" s="1" t="s">
        <v>565</v>
      </c>
    </row>
    <row r="47" ht="15.75" customHeight="1">
      <c r="A47" s="8" t="s">
        <v>566</v>
      </c>
      <c r="B47" s="1" t="s">
        <v>569</v>
      </c>
      <c r="C47" s="1">
        <v>4.7</v>
      </c>
      <c r="D47" s="1">
        <v>-409.0</v>
      </c>
      <c r="E47" s="1" t="s">
        <v>322</v>
      </c>
      <c r="F47" s="1" t="s">
        <v>52</v>
      </c>
      <c r="G47" s="1" t="s">
        <v>52</v>
      </c>
      <c r="H47" s="1" t="s">
        <v>570</v>
      </c>
      <c r="I47" s="1" t="s">
        <v>54</v>
      </c>
      <c r="J47" s="1" t="s">
        <v>52</v>
      </c>
      <c r="K47" s="1" t="s">
        <v>571</v>
      </c>
      <c r="L47" s="1" t="s">
        <v>91</v>
      </c>
      <c r="M47" s="1" t="s">
        <v>2</v>
      </c>
      <c r="N47" s="8" t="s">
        <v>63</v>
      </c>
      <c r="O47" s="1" t="s">
        <v>112</v>
      </c>
      <c r="P47" s="1" t="s">
        <v>93</v>
      </c>
      <c r="Q47" s="8" t="s">
        <v>572</v>
      </c>
      <c r="R47" s="1" t="s">
        <v>59</v>
      </c>
      <c r="S47" s="1" t="s">
        <v>61</v>
      </c>
      <c r="T47" s="1" t="s">
        <v>236</v>
      </c>
      <c r="U47" s="1" t="s">
        <v>130</v>
      </c>
      <c r="V47" s="1" t="s">
        <v>574</v>
      </c>
    </row>
    <row r="48" ht="15.75" customHeight="1">
      <c r="A48" s="8" t="s">
        <v>575</v>
      </c>
      <c r="B48" s="1" t="s">
        <v>576</v>
      </c>
      <c r="C48" s="1">
        <v>4.9</v>
      </c>
      <c r="D48" s="1">
        <v>-42.0</v>
      </c>
      <c r="E48" s="1" t="s">
        <v>322</v>
      </c>
      <c r="F48" s="1" t="s">
        <v>52</v>
      </c>
      <c r="G48" s="1" t="s">
        <v>577</v>
      </c>
      <c r="H48" s="1" t="s">
        <v>54</v>
      </c>
      <c r="I48" s="1" t="s">
        <v>220</v>
      </c>
      <c r="L48" s="1" t="s">
        <v>59</v>
      </c>
      <c r="M48" s="1" t="s">
        <v>61</v>
      </c>
      <c r="N48" s="8" t="s">
        <v>63</v>
      </c>
      <c r="O48" s="1" t="s">
        <v>112</v>
      </c>
      <c r="U48" s="1" t="s">
        <v>328</v>
      </c>
      <c r="V48" s="1" t="s">
        <v>461</v>
      </c>
    </row>
    <row r="49" ht="15.75" customHeight="1">
      <c r="A49" s="8" t="s">
        <v>580</v>
      </c>
      <c r="B49" s="1" t="s">
        <v>583</v>
      </c>
      <c r="C49" s="1">
        <v>4.4</v>
      </c>
      <c r="D49" s="1">
        <v>-158.0</v>
      </c>
      <c r="E49" s="1" t="s">
        <v>322</v>
      </c>
      <c r="F49" s="1" t="s">
        <v>52</v>
      </c>
      <c r="G49" s="1" t="s">
        <v>52</v>
      </c>
      <c r="H49" s="1" t="s">
        <v>586</v>
      </c>
      <c r="I49" s="1" t="s">
        <v>54</v>
      </c>
      <c r="L49" s="1" t="s">
        <v>91</v>
      </c>
      <c r="M49" s="1" t="s">
        <v>2</v>
      </c>
      <c r="N49" s="8" t="s">
        <v>63</v>
      </c>
      <c r="O49" s="1" t="s">
        <v>112</v>
      </c>
      <c r="P49" s="1" t="s">
        <v>93</v>
      </c>
      <c r="Q49" s="8" t="s">
        <v>587</v>
      </c>
      <c r="R49" s="1" t="s">
        <v>59</v>
      </c>
      <c r="S49" s="1" t="s">
        <v>61</v>
      </c>
      <c r="T49" s="1" t="s">
        <v>236</v>
      </c>
      <c r="U49" s="1" t="s">
        <v>130</v>
      </c>
      <c r="V49" s="1" t="s">
        <v>590</v>
      </c>
    </row>
    <row r="50" ht="15.75" customHeight="1">
      <c r="A50" s="8" t="s">
        <v>591</v>
      </c>
      <c r="B50" s="1" t="s">
        <v>593</v>
      </c>
      <c r="C50" s="1">
        <v>5.0</v>
      </c>
      <c r="D50" s="1">
        <v>-190.0</v>
      </c>
      <c r="E50" s="1" t="s">
        <v>192</v>
      </c>
      <c r="F50" s="1" t="s">
        <v>52</v>
      </c>
      <c r="G50" s="1" t="s">
        <v>595</v>
      </c>
      <c r="H50" s="1" t="s">
        <v>52</v>
      </c>
      <c r="I50" s="1" t="s">
        <v>54</v>
      </c>
      <c r="K50" s="1" t="s">
        <v>596</v>
      </c>
      <c r="L50" s="1" t="s">
        <v>91</v>
      </c>
      <c r="M50" s="1" t="s">
        <v>2</v>
      </c>
      <c r="N50" s="8" t="s">
        <v>63</v>
      </c>
      <c r="O50" s="1" t="s">
        <v>112</v>
      </c>
      <c r="Q50" s="8" t="s">
        <v>597</v>
      </c>
      <c r="R50" s="1" t="s">
        <v>59</v>
      </c>
      <c r="S50" s="1" t="s">
        <v>61</v>
      </c>
      <c r="T50" s="1" t="s">
        <v>236</v>
      </c>
      <c r="U50" s="1" t="s">
        <v>130</v>
      </c>
      <c r="V50" s="1" t="s">
        <v>599</v>
      </c>
    </row>
    <row r="51" ht="15.75" customHeight="1">
      <c r="A51" s="8" t="s">
        <v>600</v>
      </c>
      <c r="B51" s="1" t="s">
        <v>601</v>
      </c>
      <c r="C51" s="1">
        <v>4.8</v>
      </c>
      <c r="D51" s="1">
        <v>-238.0</v>
      </c>
      <c r="E51" s="1" t="s">
        <v>115</v>
      </c>
      <c r="F51" s="1" t="s">
        <v>52</v>
      </c>
      <c r="G51" s="1" t="s">
        <v>52</v>
      </c>
      <c r="H51" s="1" t="s">
        <v>602</v>
      </c>
      <c r="I51" s="1" t="s">
        <v>54</v>
      </c>
      <c r="J51" s="1" t="s">
        <v>52</v>
      </c>
      <c r="K51" s="1" t="s">
        <v>603</v>
      </c>
      <c r="L51" s="1" t="s">
        <v>91</v>
      </c>
      <c r="M51" s="1" t="s">
        <v>2</v>
      </c>
      <c r="N51" s="8" t="s">
        <v>63</v>
      </c>
      <c r="O51" s="1" t="s">
        <v>112</v>
      </c>
      <c r="P51" s="1" t="s">
        <v>93</v>
      </c>
      <c r="Q51" s="8" t="s">
        <v>604</v>
      </c>
      <c r="R51" s="1" t="s">
        <v>59</v>
      </c>
      <c r="S51" s="1" t="s">
        <v>61</v>
      </c>
      <c r="T51" s="1" t="s">
        <v>56</v>
      </c>
      <c r="U51" s="1" t="s">
        <v>328</v>
      </c>
      <c r="V51" s="1" t="s">
        <v>606</v>
      </c>
    </row>
    <row r="52" ht="15.75" customHeight="1">
      <c r="A52" s="8" t="s">
        <v>450</v>
      </c>
      <c r="B52" s="1" t="s">
        <v>449</v>
      </c>
      <c r="C52" s="1">
        <v>5.0</v>
      </c>
      <c r="D52" s="1">
        <v>-255.0</v>
      </c>
      <c r="E52" s="1" t="s">
        <v>456</v>
      </c>
      <c r="F52" s="1" t="s">
        <v>52</v>
      </c>
      <c r="G52" s="1" t="s">
        <v>52</v>
      </c>
      <c r="H52" s="1" t="s">
        <v>458</v>
      </c>
      <c r="I52" s="1" t="s">
        <v>54</v>
      </c>
      <c r="J52" s="1" t="s">
        <v>52</v>
      </c>
      <c r="K52" s="1" t="s">
        <v>459</v>
      </c>
      <c r="L52" s="1" t="s">
        <v>91</v>
      </c>
      <c r="M52" s="1" t="s">
        <v>2</v>
      </c>
      <c r="N52" s="8" t="s">
        <v>63</v>
      </c>
      <c r="O52" s="1" t="s">
        <v>112</v>
      </c>
      <c r="P52" s="1" t="s">
        <v>93</v>
      </c>
      <c r="Q52" s="8" t="s">
        <v>446</v>
      </c>
      <c r="R52" s="1" t="s">
        <v>59</v>
      </c>
      <c r="S52" s="1" t="s">
        <v>61</v>
      </c>
      <c r="T52" s="1" t="s">
        <v>56</v>
      </c>
      <c r="U52" s="1" t="s">
        <v>130</v>
      </c>
      <c r="V52" s="1" t="s">
        <v>612</v>
      </c>
    </row>
    <row r="53" ht="15.75" customHeight="1">
      <c r="A53" s="8" t="s">
        <v>613</v>
      </c>
      <c r="B53" s="1" t="s">
        <v>615</v>
      </c>
      <c r="C53" s="1">
        <v>5.0</v>
      </c>
      <c r="D53" s="1">
        <v>-33.0</v>
      </c>
      <c r="E53" s="1" t="s">
        <v>616</v>
      </c>
      <c r="F53" s="1" t="s">
        <v>52</v>
      </c>
      <c r="G53" s="1" t="s">
        <v>617</v>
      </c>
      <c r="H53" s="1" t="s">
        <v>52</v>
      </c>
      <c r="I53" s="1" t="s">
        <v>54</v>
      </c>
      <c r="K53" s="1" t="s">
        <v>619</v>
      </c>
      <c r="L53" s="1" t="s">
        <v>91</v>
      </c>
      <c r="M53" s="1" t="s">
        <v>2</v>
      </c>
      <c r="N53" s="8" t="s">
        <v>63</v>
      </c>
      <c r="O53" s="1" t="s">
        <v>112</v>
      </c>
      <c r="Q53" s="8" t="s">
        <v>620</v>
      </c>
      <c r="R53" s="1" t="s">
        <v>59</v>
      </c>
      <c r="S53" s="1" t="s">
        <v>61</v>
      </c>
      <c r="T53" s="1" t="s">
        <v>56</v>
      </c>
      <c r="U53" s="1" t="s">
        <v>175</v>
      </c>
      <c r="V53" s="1" t="s">
        <v>623</v>
      </c>
    </row>
    <row r="54" ht="15.75" customHeight="1">
      <c r="A54" s="8" t="s">
        <v>624</v>
      </c>
      <c r="B54" s="1" t="s">
        <v>629</v>
      </c>
      <c r="C54" s="1">
        <v>4.9</v>
      </c>
      <c r="D54" s="1">
        <v>-41.0</v>
      </c>
      <c r="E54" s="1" t="s">
        <v>51</v>
      </c>
      <c r="F54" s="1" t="s">
        <v>52</v>
      </c>
      <c r="G54" s="1" t="s">
        <v>630</v>
      </c>
      <c r="H54" s="1" t="s">
        <v>54</v>
      </c>
      <c r="I54" s="1" t="s">
        <v>56</v>
      </c>
      <c r="J54" s="1" t="s">
        <v>52</v>
      </c>
      <c r="K54" s="1" t="s">
        <v>631</v>
      </c>
      <c r="L54" s="1" t="s">
        <v>59</v>
      </c>
      <c r="M54" s="1" t="s">
        <v>61</v>
      </c>
      <c r="N54" s="8" t="s">
        <v>63</v>
      </c>
      <c r="O54" s="1" t="s">
        <v>633</v>
      </c>
    </row>
    <row r="55" ht="15.75" customHeight="1">
      <c r="A55" s="8" t="s">
        <v>635</v>
      </c>
      <c r="B55" s="1" t="s">
        <v>637</v>
      </c>
      <c r="C55" s="1">
        <v>4.8</v>
      </c>
      <c r="D55" s="1">
        <v>-317.0</v>
      </c>
      <c r="E55" s="1" t="s">
        <v>640</v>
      </c>
      <c r="F55" s="1" t="s">
        <v>52</v>
      </c>
      <c r="G55" s="1" t="s">
        <v>641</v>
      </c>
      <c r="H55" s="1" t="s">
        <v>52</v>
      </c>
      <c r="I55" s="1" t="s">
        <v>642</v>
      </c>
      <c r="K55" s="1" t="s">
        <v>515</v>
      </c>
      <c r="L55" s="1" t="s">
        <v>91</v>
      </c>
      <c r="M55" s="1" t="s">
        <v>2</v>
      </c>
      <c r="N55" s="8" t="s">
        <v>63</v>
      </c>
      <c r="O55" s="1" t="s">
        <v>112</v>
      </c>
      <c r="Q55" s="8" t="s">
        <v>645</v>
      </c>
      <c r="R55" s="1" t="s">
        <v>59</v>
      </c>
      <c r="S55" s="1" t="s">
        <v>61</v>
      </c>
      <c r="T55" s="1" t="s">
        <v>647</v>
      </c>
      <c r="U55" s="1" t="s">
        <v>328</v>
      </c>
      <c r="V55" s="1" t="s">
        <v>639</v>
      </c>
    </row>
    <row r="56" ht="15.75" customHeight="1">
      <c r="A56" s="8" t="s">
        <v>622</v>
      </c>
      <c r="B56" s="1" t="s">
        <v>621</v>
      </c>
      <c r="C56" s="1">
        <v>4.9</v>
      </c>
      <c r="D56" s="1">
        <v>-157.0</v>
      </c>
      <c r="E56" s="1" t="s">
        <v>51</v>
      </c>
      <c r="F56" s="1" t="s">
        <v>52</v>
      </c>
      <c r="G56" s="1" t="s">
        <v>626</v>
      </c>
      <c r="H56" s="1" t="s">
        <v>52</v>
      </c>
      <c r="I56" s="1" t="s">
        <v>54</v>
      </c>
      <c r="K56" s="1" t="s">
        <v>627</v>
      </c>
      <c r="L56" s="1" t="s">
        <v>91</v>
      </c>
      <c r="M56" s="1" t="s">
        <v>2</v>
      </c>
      <c r="N56" s="8" t="s">
        <v>63</v>
      </c>
      <c r="O56" s="1" t="s">
        <v>651</v>
      </c>
      <c r="Q56" s="8" t="s">
        <v>618</v>
      </c>
      <c r="R56" s="1" t="s">
        <v>59</v>
      </c>
      <c r="S56" s="1" t="s">
        <v>61</v>
      </c>
      <c r="T56" s="1" t="s">
        <v>220</v>
      </c>
    </row>
    <row r="57" ht="15.75" customHeight="1">
      <c r="A57" s="8" t="s">
        <v>646</v>
      </c>
      <c r="B57" s="1" t="s">
        <v>643</v>
      </c>
      <c r="C57" s="1">
        <v>5.0</v>
      </c>
      <c r="D57" s="1">
        <v>-34.0</v>
      </c>
      <c r="E57" s="1" t="s">
        <v>322</v>
      </c>
      <c r="F57" s="1" t="s">
        <v>52</v>
      </c>
      <c r="G57" s="1" t="s">
        <v>648</v>
      </c>
      <c r="H57" s="1" t="s">
        <v>54</v>
      </c>
      <c r="I57" s="1" t="s">
        <v>220</v>
      </c>
      <c r="J57" s="1" t="s">
        <v>52</v>
      </c>
      <c r="K57" s="1" t="s">
        <v>649</v>
      </c>
      <c r="L57" s="1" t="s">
        <v>59</v>
      </c>
      <c r="M57" s="1" t="s">
        <v>61</v>
      </c>
      <c r="N57" s="8" t="s">
        <v>63</v>
      </c>
      <c r="O57" s="1" t="s">
        <v>406</v>
      </c>
      <c r="U57" s="1" t="s">
        <v>175</v>
      </c>
      <c r="V57" s="1" t="s">
        <v>407</v>
      </c>
    </row>
    <row r="58" ht="15.75" customHeight="1">
      <c r="A58" s="8" t="s">
        <v>658</v>
      </c>
      <c r="B58" s="1" t="s">
        <v>659</v>
      </c>
      <c r="C58" s="1">
        <v>4.9</v>
      </c>
      <c r="D58" s="1">
        <v>-44.0</v>
      </c>
      <c r="E58" s="1" t="s">
        <v>470</v>
      </c>
      <c r="F58" s="1" t="s">
        <v>52</v>
      </c>
      <c r="G58" s="1" t="s">
        <v>52</v>
      </c>
      <c r="H58" s="1" t="s">
        <v>660</v>
      </c>
      <c r="I58" s="1" t="s">
        <v>89</v>
      </c>
      <c r="J58" s="1" t="s">
        <v>52</v>
      </c>
      <c r="K58" s="1" t="s">
        <v>661</v>
      </c>
      <c r="L58" s="1" t="s">
        <v>91</v>
      </c>
      <c r="M58" s="1" t="s">
        <v>2</v>
      </c>
      <c r="N58" s="8" t="s">
        <v>63</v>
      </c>
      <c r="O58" s="1" t="s">
        <v>662</v>
      </c>
      <c r="P58" s="1" t="s">
        <v>93</v>
      </c>
      <c r="Q58" s="8" t="s">
        <v>663</v>
      </c>
      <c r="R58" s="1" t="s">
        <v>59</v>
      </c>
      <c r="S58" s="1" t="s">
        <v>61</v>
      </c>
    </row>
    <row r="59" ht="15.75" customHeight="1">
      <c r="A59" s="8" t="s">
        <v>634</v>
      </c>
      <c r="B59" s="1" t="s">
        <v>632</v>
      </c>
      <c r="C59" s="1">
        <v>4.2</v>
      </c>
      <c r="D59" s="1">
        <v>-70.0</v>
      </c>
      <c r="E59" s="1" t="s">
        <v>616</v>
      </c>
      <c r="F59" s="1" t="s">
        <v>52</v>
      </c>
      <c r="G59" s="1" t="s">
        <v>52</v>
      </c>
      <c r="H59" s="1" t="s">
        <v>636</v>
      </c>
      <c r="I59" s="1" t="s">
        <v>54</v>
      </c>
      <c r="J59" s="1" t="s">
        <v>52</v>
      </c>
      <c r="K59" s="1" t="s">
        <v>638</v>
      </c>
      <c r="L59" s="1" t="s">
        <v>91</v>
      </c>
      <c r="M59" s="1" t="s">
        <v>2</v>
      </c>
      <c r="N59" s="8" t="s">
        <v>63</v>
      </c>
      <c r="O59" s="1" t="s">
        <v>665</v>
      </c>
      <c r="P59" s="1" t="s">
        <v>93</v>
      </c>
      <c r="Q59" s="8" t="s">
        <v>628</v>
      </c>
      <c r="R59" s="1" t="s">
        <v>59</v>
      </c>
      <c r="S59" s="1" t="s">
        <v>61</v>
      </c>
      <c r="T59" s="1" t="s">
        <v>220</v>
      </c>
      <c r="U59" s="1" t="s">
        <v>130</v>
      </c>
      <c r="V59" s="1" t="s">
        <v>668</v>
      </c>
    </row>
    <row r="60" ht="15.75" customHeight="1">
      <c r="A60" s="8" t="s">
        <v>669</v>
      </c>
      <c r="B60" s="1" t="s">
        <v>672</v>
      </c>
      <c r="C60" s="1">
        <v>4.9</v>
      </c>
      <c r="D60" s="1">
        <v>-352.0</v>
      </c>
      <c r="E60" s="1" t="s">
        <v>559</v>
      </c>
      <c r="F60" s="1" t="s">
        <v>52</v>
      </c>
      <c r="G60" s="1" t="s">
        <v>52</v>
      </c>
      <c r="H60" s="1" t="s">
        <v>674</v>
      </c>
      <c r="I60" s="1" t="s">
        <v>54</v>
      </c>
      <c r="J60" s="1" t="s">
        <v>52</v>
      </c>
      <c r="K60" s="1" t="s">
        <v>675</v>
      </c>
      <c r="L60" s="1" t="s">
        <v>91</v>
      </c>
      <c r="M60" s="1" t="s">
        <v>2</v>
      </c>
      <c r="N60" s="8" t="s">
        <v>63</v>
      </c>
      <c r="O60" s="1" t="s">
        <v>300</v>
      </c>
      <c r="P60" s="1" t="s">
        <v>93</v>
      </c>
      <c r="Q60" s="8" t="s">
        <v>676</v>
      </c>
      <c r="R60" s="1" t="s">
        <v>59</v>
      </c>
      <c r="S60" s="1" t="s">
        <v>61</v>
      </c>
      <c r="T60" s="1" t="s">
        <v>679</v>
      </c>
    </row>
    <row r="61" ht="15.75" customHeight="1">
      <c r="A61" s="8" t="s">
        <v>396</v>
      </c>
      <c r="B61" s="1" t="s">
        <v>395</v>
      </c>
      <c r="C61" s="1">
        <v>4.4</v>
      </c>
      <c r="D61" s="1">
        <v>-36.0</v>
      </c>
      <c r="E61" s="1" t="s">
        <v>403</v>
      </c>
      <c r="F61" s="1" t="s">
        <v>52</v>
      </c>
      <c r="G61" s="1" t="s">
        <v>404</v>
      </c>
      <c r="H61" s="1" t="s">
        <v>371</v>
      </c>
      <c r="I61" s="1" t="s">
        <v>377</v>
      </c>
      <c r="J61" s="1" t="s">
        <v>52</v>
      </c>
      <c r="K61" s="1" t="s">
        <v>405</v>
      </c>
      <c r="L61" s="1" t="s">
        <v>59</v>
      </c>
      <c r="M61" s="1" t="s">
        <v>61</v>
      </c>
      <c r="N61" s="8" t="s">
        <v>63</v>
      </c>
      <c r="O61" s="1" t="s">
        <v>112</v>
      </c>
      <c r="U61" s="1" t="s">
        <v>130</v>
      </c>
      <c r="V61" s="1" t="s">
        <v>683</v>
      </c>
    </row>
    <row r="62" ht="15.75" customHeight="1">
      <c r="A62" s="8" t="s">
        <v>684</v>
      </c>
      <c r="B62" s="1" t="s">
        <v>687</v>
      </c>
      <c r="C62" s="1">
        <v>4.6</v>
      </c>
      <c r="D62" s="13">
        <v>-9100.0</v>
      </c>
      <c r="E62" s="1" t="s">
        <v>86</v>
      </c>
      <c r="F62" s="1" t="s">
        <v>52</v>
      </c>
      <c r="G62" s="1" t="s">
        <v>52</v>
      </c>
      <c r="H62" s="1" t="s">
        <v>690</v>
      </c>
      <c r="I62" s="1" t="s">
        <v>89</v>
      </c>
      <c r="J62" s="1" t="s">
        <v>52</v>
      </c>
      <c r="K62" s="1" t="s">
        <v>691</v>
      </c>
      <c r="L62" s="1" t="s">
        <v>91</v>
      </c>
      <c r="M62" s="1" t="s">
        <v>2</v>
      </c>
      <c r="N62" s="8" t="s">
        <v>63</v>
      </c>
      <c r="O62" s="1" t="s">
        <v>195</v>
      </c>
      <c r="P62" s="1" t="s">
        <v>93</v>
      </c>
      <c r="Q62" s="8" t="s">
        <v>693</v>
      </c>
      <c r="R62" s="1" t="s">
        <v>59</v>
      </c>
      <c r="S62" s="1" t="s">
        <v>61</v>
      </c>
      <c r="U62" s="1" t="s">
        <v>237</v>
      </c>
      <c r="V62" s="1" t="s">
        <v>197</v>
      </c>
    </row>
    <row r="63" ht="15.75" customHeight="1">
      <c r="A63" s="8" t="s">
        <v>696</v>
      </c>
      <c r="B63" s="1" t="s">
        <v>697</v>
      </c>
      <c r="C63" s="1">
        <v>4.7</v>
      </c>
      <c r="D63" s="1">
        <v>-50.0</v>
      </c>
      <c r="E63" s="1" t="s">
        <v>192</v>
      </c>
      <c r="F63" s="1" t="s">
        <v>52</v>
      </c>
      <c r="G63" s="1" t="s">
        <v>698</v>
      </c>
      <c r="H63" s="1" t="s">
        <v>54</v>
      </c>
      <c r="I63" s="1" t="s">
        <v>56</v>
      </c>
      <c r="J63" s="1" t="s">
        <v>52</v>
      </c>
      <c r="K63" s="1" t="s">
        <v>699</v>
      </c>
      <c r="L63" s="1" t="s">
        <v>59</v>
      </c>
      <c r="M63" s="1" t="s">
        <v>61</v>
      </c>
      <c r="N63" s="8" t="s">
        <v>63</v>
      </c>
      <c r="O63" s="1" t="s">
        <v>445</v>
      </c>
    </row>
    <row r="64" ht="15.75" customHeight="1">
      <c r="A64" s="8" t="s">
        <v>292</v>
      </c>
      <c r="B64" s="1" t="s">
        <v>290</v>
      </c>
      <c r="C64" s="1">
        <v>4.7</v>
      </c>
      <c r="D64" s="13">
        <v>-3862.0</v>
      </c>
      <c r="E64" s="1" t="s">
        <v>298</v>
      </c>
      <c r="F64" s="1" t="s">
        <v>52</v>
      </c>
      <c r="G64" s="1" t="s">
        <v>52</v>
      </c>
      <c r="H64" s="1" t="s">
        <v>700</v>
      </c>
      <c r="I64" s="1" t="s">
        <v>89</v>
      </c>
      <c r="J64" s="1" t="s">
        <v>52</v>
      </c>
      <c r="K64" s="1" t="s">
        <v>299</v>
      </c>
      <c r="L64" s="1" t="s">
        <v>91</v>
      </c>
      <c r="M64" s="1" t="s">
        <v>2</v>
      </c>
      <c r="N64" s="8" t="s">
        <v>63</v>
      </c>
      <c r="O64" s="1" t="s">
        <v>702</v>
      </c>
      <c r="P64" s="1" t="s">
        <v>93</v>
      </c>
      <c r="Q64" s="8" t="s">
        <v>285</v>
      </c>
      <c r="R64" s="1" t="s">
        <v>59</v>
      </c>
      <c r="S64" s="1" t="s">
        <v>61</v>
      </c>
      <c r="U64" s="1" t="s">
        <v>237</v>
      </c>
      <c r="V64" s="1" t="s">
        <v>704</v>
      </c>
    </row>
    <row r="65" ht="15.75" customHeight="1">
      <c r="A65" s="8" t="s">
        <v>705</v>
      </c>
      <c r="B65" s="1" t="s">
        <v>706</v>
      </c>
      <c r="C65" s="1">
        <v>5.0</v>
      </c>
      <c r="D65" s="1">
        <v>-53.0</v>
      </c>
      <c r="E65" s="1" t="s">
        <v>708</v>
      </c>
      <c r="F65" s="1" t="s">
        <v>52</v>
      </c>
      <c r="G65" s="1" t="s">
        <v>710</v>
      </c>
      <c r="H65" s="1" t="s">
        <v>54</v>
      </c>
      <c r="I65" s="1" t="s">
        <v>77</v>
      </c>
      <c r="J65" s="1" t="s">
        <v>52</v>
      </c>
      <c r="K65" s="1" t="s">
        <v>711</v>
      </c>
      <c r="L65" s="1" t="s">
        <v>59</v>
      </c>
      <c r="M65" s="1" t="s">
        <v>61</v>
      </c>
      <c r="N65" s="8" t="s">
        <v>63</v>
      </c>
      <c r="O65" s="1" t="s">
        <v>112</v>
      </c>
      <c r="U65" s="1" t="s">
        <v>130</v>
      </c>
      <c r="V65" s="1" t="s">
        <v>712</v>
      </c>
    </row>
    <row r="66" ht="15.75" customHeight="1">
      <c r="A66" s="8" t="s">
        <v>179</v>
      </c>
      <c r="B66" s="1" t="s">
        <v>174</v>
      </c>
      <c r="C66" s="1">
        <v>4.9</v>
      </c>
      <c r="D66" s="1">
        <v>-580.0</v>
      </c>
      <c r="E66" s="1" t="s">
        <v>184</v>
      </c>
      <c r="F66" s="1" t="s">
        <v>52</v>
      </c>
      <c r="G66" s="1" t="s">
        <v>185</v>
      </c>
      <c r="H66" s="1" t="s">
        <v>122</v>
      </c>
      <c r="I66" s="1" t="s">
        <v>536</v>
      </c>
      <c r="J66" s="1" t="s">
        <v>52</v>
      </c>
      <c r="K66" s="1" t="s">
        <v>187</v>
      </c>
      <c r="L66" s="1" t="s">
        <v>91</v>
      </c>
      <c r="M66" s="1" t="s">
        <v>2</v>
      </c>
      <c r="Q66" s="8" t="s">
        <v>189</v>
      </c>
      <c r="R66" s="1" t="s">
        <v>59</v>
      </c>
      <c r="S66" s="1" t="s">
        <v>61</v>
      </c>
    </row>
    <row r="67" ht="15.75" customHeight="1">
      <c r="A67" s="8" t="s">
        <v>439</v>
      </c>
      <c r="B67" s="1" t="s">
        <v>438</v>
      </c>
      <c r="C67" s="1">
        <v>5.0</v>
      </c>
      <c r="D67" s="1">
        <v>-471.0</v>
      </c>
      <c r="E67" s="1" t="s">
        <v>102</v>
      </c>
      <c r="F67" s="1" t="s">
        <v>52</v>
      </c>
      <c r="G67" s="1" t="s">
        <v>442</v>
      </c>
      <c r="H67" s="1" t="s">
        <v>54</v>
      </c>
      <c r="I67" s="1" t="s">
        <v>236</v>
      </c>
      <c r="J67" s="1" t="s">
        <v>52</v>
      </c>
      <c r="K67" s="1" t="s">
        <v>444</v>
      </c>
      <c r="L67" s="1" t="s">
        <v>91</v>
      </c>
      <c r="M67" s="1" t="s">
        <v>2</v>
      </c>
      <c r="Q67" s="8" t="s">
        <v>432</v>
      </c>
      <c r="R67" s="1" t="s">
        <v>59</v>
      </c>
      <c r="S67" s="1" t="s">
        <v>61</v>
      </c>
    </row>
    <row r="68" ht="15.75" customHeight="1">
      <c r="A68" s="8" t="s">
        <v>722</v>
      </c>
      <c r="B68" s="1" t="s">
        <v>724</v>
      </c>
      <c r="C68" s="1">
        <v>3.6</v>
      </c>
      <c r="D68" s="1">
        <v>-14.0</v>
      </c>
      <c r="E68" s="1" t="s">
        <v>51</v>
      </c>
      <c r="F68" s="1" t="s">
        <v>52</v>
      </c>
      <c r="G68" s="1">
        <v>7.0</v>
      </c>
      <c r="H68" s="1" t="s">
        <v>54</v>
      </c>
      <c r="I68" s="1" t="s">
        <v>220</v>
      </c>
      <c r="L68" s="1" t="s">
        <v>59</v>
      </c>
      <c r="M68" s="1" t="s">
        <v>61</v>
      </c>
    </row>
    <row r="69" ht="15.75" customHeight="1">
      <c r="A69" s="8" t="s">
        <v>727</v>
      </c>
      <c r="B69" s="1" t="s">
        <v>730</v>
      </c>
      <c r="C69" s="1">
        <v>4.8</v>
      </c>
      <c r="D69" s="1">
        <v>-96.0</v>
      </c>
      <c r="E69" s="1" t="s">
        <v>51</v>
      </c>
      <c r="F69" s="1" t="s">
        <v>52</v>
      </c>
      <c r="G69" s="1" t="s">
        <v>52</v>
      </c>
      <c r="H69" s="1" t="s">
        <v>732</v>
      </c>
      <c r="I69" s="1" t="s">
        <v>642</v>
      </c>
      <c r="J69" s="1" t="s">
        <v>52</v>
      </c>
      <c r="K69" s="1" t="s">
        <v>733</v>
      </c>
      <c r="L69" s="1" t="s">
        <v>91</v>
      </c>
      <c r="M69" s="1" t="s">
        <v>2</v>
      </c>
      <c r="P69" s="1" t="s">
        <v>401</v>
      </c>
      <c r="Q69" s="8" t="s">
        <v>734</v>
      </c>
      <c r="R69" s="1" t="s">
        <v>59</v>
      </c>
      <c r="S69" s="1" t="s">
        <v>61</v>
      </c>
      <c r="T69" s="1" t="s">
        <v>735</v>
      </c>
    </row>
    <row r="70" ht="15.75" customHeight="1">
      <c r="A70" s="8" t="s">
        <v>726</v>
      </c>
      <c r="B70" s="1" t="s">
        <v>725</v>
      </c>
      <c r="C70" s="1">
        <v>4.5</v>
      </c>
      <c r="D70" s="1">
        <v>-138.0</v>
      </c>
      <c r="E70" s="1" t="s">
        <v>728</v>
      </c>
      <c r="F70" s="1" t="s">
        <v>52</v>
      </c>
      <c r="G70" s="1" t="s">
        <v>52</v>
      </c>
      <c r="H70" s="1" t="s">
        <v>729</v>
      </c>
      <c r="I70" s="1" t="s">
        <v>54</v>
      </c>
      <c r="J70" s="1" t="s">
        <v>52</v>
      </c>
      <c r="K70" s="1" t="s">
        <v>731</v>
      </c>
      <c r="L70" s="1" t="s">
        <v>91</v>
      </c>
      <c r="M70" s="1" t="s">
        <v>2</v>
      </c>
      <c r="O70" s="1" t="s">
        <v>333</v>
      </c>
      <c r="P70" s="1" t="s">
        <v>93</v>
      </c>
      <c r="Q70" s="8" t="s">
        <v>723</v>
      </c>
      <c r="R70" s="1" t="s">
        <v>59</v>
      </c>
      <c r="S70" s="1" t="s">
        <v>61</v>
      </c>
      <c r="T70" s="1" t="s">
        <v>77</v>
      </c>
    </row>
    <row r="71" ht="15.75" customHeight="1">
      <c r="A71" s="8" t="s">
        <v>738</v>
      </c>
      <c r="B71" s="1" t="s">
        <v>739</v>
      </c>
      <c r="C71" s="1">
        <v>4.8</v>
      </c>
      <c r="D71" s="1">
        <v>-459.0</v>
      </c>
      <c r="E71" s="1" t="s">
        <v>740</v>
      </c>
      <c r="F71" s="1" t="s">
        <v>52</v>
      </c>
      <c r="G71" s="1" t="s">
        <v>741</v>
      </c>
      <c r="H71" s="1" t="s">
        <v>52</v>
      </c>
      <c r="I71" s="1" t="s">
        <v>54</v>
      </c>
      <c r="K71" s="1" t="s">
        <v>742</v>
      </c>
      <c r="L71" s="1" t="s">
        <v>91</v>
      </c>
      <c r="M71" s="1" t="s">
        <v>2</v>
      </c>
      <c r="O71" s="1" t="s">
        <v>504</v>
      </c>
      <c r="Q71" s="8" t="s">
        <v>743</v>
      </c>
      <c r="R71" s="1" t="s">
        <v>59</v>
      </c>
      <c r="S71" s="1" t="s">
        <v>61</v>
      </c>
      <c r="T71" s="1" t="s">
        <v>220</v>
      </c>
    </row>
    <row r="72" ht="15.75" customHeight="1">
      <c r="A72" s="8" t="s">
        <v>518</v>
      </c>
      <c r="B72" s="1" t="s">
        <v>517</v>
      </c>
      <c r="C72" s="1">
        <v>4.8</v>
      </c>
      <c r="D72" s="1">
        <v>-525.0</v>
      </c>
      <c r="E72" s="1" t="s">
        <v>521</v>
      </c>
      <c r="F72" s="1" t="s">
        <v>52</v>
      </c>
      <c r="G72" s="1" t="s">
        <v>52</v>
      </c>
      <c r="H72" s="1" t="s">
        <v>54</v>
      </c>
      <c r="I72" s="1" t="s">
        <v>220</v>
      </c>
      <c r="J72" s="1" t="s">
        <v>522</v>
      </c>
      <c r="K72" s="1" t="s">
        <v>523</v>
      </c>
      <c r="L72" s="1" t="s">
        <v>59</v>
      </c>
      <c r="M72" s="1" t="s">
        <v>61</v>
      </c>
      <c r="P72" s="1" t="s">
        <v>93</v>
      </c>
      <c r="T72" s="1" t="s">
        <v>52</v>
      </c>
    </row>
    <row r="73" ht="15.75" customHeight="1">
      <c r="A73" s="8" t="s">
        <v>744</v>
      </c>
      <c r="B73" s="1" t="s">
        <v>746</v>
      </c>
      <c r="C73" s="1">
        <v>4.9</v>
      </c>
      <c r="D73" s="1">
        <v>-154.0</v>
      </c>
      <c r="E73" s="1" t="s">
        <v>747</v>
      </c>
      <c r="F73" s="1" t="s">
        <v>52</v>
      </c>
      <c r="G73" s="1" t="s">
        <v>52</v>
      </c>
      <c r="H73" s="1" t="s">
        <v>748</v>
      </c>
      <c r="I73" s="1" t="s">
        <v>54</v>
      </c>
      <c r="J73" s="1" t="s">
        <v>52</v>
      </c>
      <c r="K73" s="1" t="s">
        <v>749</v>
      </c>
      <c r="L73" s="1" t="s">
        <v>91</v>
      </c>
      <c r="M73" s="1" t="s">
        <v>2</v>
      </c>
      <c r="O73" s="1" t="s">
        <v>504</v>
      </c>
      <c r="P73" s="1" t="s">
        <v>93</v>
      </c>
      <c r="Q73" s="8" t="s">
        <v>750</v>
      </c>
      <c r="R73" s="1" t="s">
        <v>59</v>
      </c>
      <c r="S73" s="1" t="s">
        <v>61</v>
      </c>
      <c r="T73" s="1" t="s">
        <v>256</v>
      </c>
    </row>
    <row r="74" ht="15.75" customHeight="1">
      <c r="A74" s="8" t="s">
        <v>81</v>
      </c>
      <c r="B74" s="1" t="s">
        <v>73</v>
      </c>
      <c r="C74" s="1">
        <v>4.7</v>
      </c>
      <c r="D74" s="1">
        <v>-599.0</v>
      </c>
      <c r="E74" s="1" t="s">
        <v>83</v>
      </c>
      <c r="F74" s="1" t="s">
        <v>52</v>
      </c>
      <c r="G74" s="1" t="s">
        <v>52</v>
      </c>
      <c r="H74" s="1" t="s">
        <v>84</v>
      </c>
      <c r="I74" s="1" t="s">
        <v>89</v>
      </c>
      <c r="J74" s="1" t="s">
        <v>52</v>
      </c>
      <c r="K74" s="1" t="s">
        <v>85</v>
      </c>
      <c r="L74" s="1" t="s">
        <v>91</v>
      </c>
      <c r="M74" s="1" t="s">
        <v>2</v>
      </c>
      <c r="O74" s="1" t="s">
        <v>504</v>
      </c>
      <c r="P74" s="1" t="s">
        <v>93</v>
      </c>
      <c r="Q74" s="8" t="s">
        <v>69</v>
      </c>
      <c r="R74" s="1" t="s">
        <v>59</v>
      </c>
      <c r="S74" s="1" t="s">
        <v>61</v>
      </c>
    </row>
    <row r="75" ht="15.75" customHeight="1">
      <c r="A75" s="8" t="s">
        <v>339</v>
      </c>
      <c r="B75" s="1" t="s">
        <v>335</v>
      </c>
      <c r="C75" s="1">
        <v>4.1</v>
      </c>
      <c r="D75" s="13">
        <v>-3440.0</v>
      </c>
      <c r="E75" s="1" t="s">
        <v>86</v>
      </c>
      <c r="F75" s="1" t="s">
        <v>52</v>
      </c>
      <c r="G75" s="1" t="s">
        <v>52</v>
      </c>
      <c r="H75" s="1" t="s">
        <v>343</v>
      </c>
      <c r="I75" s="1" t="s">
        <v>89</v>
      </c>
      <c r="J75" s="1" t="s">
        <v>52</v>
      </c>
      <c r="K75" s="1" t="s">
        <v>344</v>
      </c>
      <c r="L75" s="1" t="s">
        <v>91</v>
      </c>
      <c r="M75" s="1" t="s">
        <v>2</v>
      </c>
      <c r="O75" s="1" t="s">
        <v>504</v>
      </c>
      <c r="P75" s="1" t="s">
        <v>93</v>
      </c>
      <c r="Q75" s="8" t="s">
        <v>334</v>
      </c>
      <c r="R75" s="1" t="s">
        <v>59</v>
      </c>
      <c r="S75" s="1" t="s">
        <v>61</v>
      </c>
    </row>
    <row r="76" ht="15.75" customHeight="1">
      <c r="A76" s="8" t="s">
        <v>760</v>
      </c>
      <c r="B76" s="1" t="s">
        <v>761</v>
      </c>
      <c r="C76" s="1">
        <v>4.9</v>
      </c>
      <c r="D76" s="1">
        <v>-96.0</v>
      </c>
      <c r="E76" s="1" t="s">
        <v>51</v>
      </c>
      <c r="F76" s="1" t="s">
        <v>52</v>
      </c>
      <c r="G76" s="1" t="s">
        <v>762</v>
      </c>
      <c r="H76" s="1" t="s">
        <v>52</v>
      </c>
      <c r="I76" s="1" t="s">
        <v>642</v>
      </c>
      <c r="K76" s="1" t="s">
        <v>763</v>
      </c>
      <c r="L76" s="1" t="s">
        <v>91</v>
      </c>
      <c r="M76" s="1" t="s">
        <v>2</v>
      </c>
      <c r="O76" s="1" t="s">
        <v>333</v>
      </c>
      <c r="Q76" s="8" t="s">
        <v>764</v>
      </c>
      <c r="R76" s="1" t="s">
        <v>59</v>
      </c>
      <c r="S76" s="1" t="s">
        <v>61</v>
      </c>
      <c r="T76" s="1" t="s">
        <v>765</v>
      </c>
    </row>
    <row r="77" ht="15.75" customHeight="1">
      <c r="A77" s="8" t="s">
        <v>43</v>
      </c>
      <c r="B77" s="1" t="s">
        <v>40</v>
      </c>
      <c r="C77" s="1">
        <v>5.0</v>
      </c>
      <c r="D77" s="1">
        <v>-152.0</v>
      </c>
      <c r="E77" s="1" t="s">
        <v>51</v>
      </c>
      <c r="F77" s="1" t="s">
        <v>52</v>
      </c>
      <c r="G77" s="1" t="s">
        <v>62</v>
      </c>
      <c r="I77" s="1" t="s">
        <v>642</v>
      </c>
      <c r="L77" s="1" t="s">
        <v>91</v>
      </c>
      <c r="M77" s="1" t="s">
        <v>2</v>
      </c>
      <c r="Q77" s="8" t="s">
        <v>32</v>
      </c>
      <c r="R77" s="1" t="s">
        <v>59</v>
      </c>
      <c r="S77" s="1" t="s">
        <v>61</v>
      </c>
      <c r="T77" s="1" t="s">
        <v>766</v>
      </c>
    </row>
    <row r="78" ht="15.75" customHeight="1">
      <c r="A78" s="8" t="s">
        <v>767</v>
      </c>
      <c r="B78" s="1" t="s">
        <v>768</v>
      </c>
      <c r="C78" s="1">
        <v>5.0</v>
      </c>
      <c r="D78" s="1">
        <v>-115.0</v>
      </c>
      <c r="E78" s="1" t="s">
        <v>192</v>
      </c>
      <c r="F78" s="1" t="s">
        <v>52</v>
      </c>
      <c r="G78" s="1" t="s">
        <v>769</v>
      </c>
      <c r="H78" s="1" t="s">
        <v>54</v>
      </c>
      <c r="I78" s="1" t="s">
        <v>236</v>
      </c>
      <c r="J78" s="1" t="s">
        <v>52</v>
      </c>
      <c r="K78" s="1" t="s">
        <v>771</v>
      </c>
      <c r="L78" s="1" t="s">
        <v>59</v>
      </c>
      <c r="M78" s="1" t="s">
        <v>61</v>
      </c>
      <c r="O78" s="1" t="s">
        <v>333</v>
      </c>
    </row>
    <row r="79" ht="15.75" customHeight="1">
      <c r="A79" s="8" t="s">
        <v>499</v>
      </c>
      <c r="B79" s="1" t="s">
        <v>498</v>
      </c>
      <c r="C79" s="1">
        <v>4.7</v>
      </c>
      <c r="D79" s="1">
        <v>-3.0</v>
      </c>
      <c r="E79" s="1" t="s">
        <v>51</v>
      </c>
      <c r="F79" s="1" t="s">
        <v>52</v>
      </c>
      <c r="G79" s="1" t="s">
        <v>502</v>
      </c>
      <c r="H79" s="1" t="s">
        <v>371</v>
      </c>
      <c r="I79" s="1" t="s">
        <v>377</v>
      </c>
      <c r="J79" s="1" t="s">
        <v>52</v>
      </c>
      <c r="K79" s="1" t="s">
        <v>503</v>
      </c>
      <c r="L79" s="1" t="s">
        <v>59</v>
      </c>
      <c r="M79" s="1" t="s">
        <v>61</v>
      </c>
    </row>
    <row r="80" ht="15.75" customHeight="1">
      <c r="A80" s="8" t="s">
        <v>773</v>
      </c>
      <c r="B80" s="1" t="s">
        <v>774</v>
      </c>
      <c r="C80" s="1">
        <v>4.8</v>
      </c>
      <c r="D80" s="1">
        <v>-155.0</v>
      </c>
      <c r="E80" s="1" t="s">
        <v>102</v>
      </c>
      <c r="F80" s="1" t="s">
        <v>52</v>
      </c>
      <c r="G80" s="1" t="s">
        <v>775</v>
      </c>
      <c r="H80" s="1" t="s">
        <v>52</v>
      </c>
      <c r="I80" s="1" t="s">
        <v>54</v>
      </c>
      <c r="K80" s="1" t="s">
        <v>776</v>
      </c>
      <c r="L80" s="1" t="s">
        <v>91</v>
      </c>
      <c r="M80" s="1" t="s">
        <v>2</v>
      </c>
      <c r="O80" s="1" t="s">
        <v>504</v>
      </c>
      <c r="Q80" s="8" t="s">
        <v>777</v>
      </c>
      <c r="R80" s="1" t="s">
        <v>59</v>
      </c>
      <c r="S80" s="1" t="s">
        <v>61</v>
      </c>
      <c r="T80" s="1" t="s">
        <v>77</v>
      </c>
    </row>
    <row r="81" ht="15.75" customHeight="1">
      <c r="A81" s="8" t="s">
        <v>324</v>
      </c>
      <c r="B81" s="1" t="s">
        <v>319</v>
      </c>
      <c r="C81" s="1">
        <v>4.3</v>
      </c>
      <c r="D81" s="1">
        <v>-175.0</v>
      </c>
      <c r="E81" s="1" t="s">
        <v>330</v>
      </c>
      <c r="F81" s="1" t="s">
        <v>52</v>
      </c>
      <c r="G81" s="1" t="s">
        <v>52</v>
      </c>
      <c r="H81" s="1" t="s">
        <v>332</v>
      </c>
      <c r="I81" s="1" t="s">
        <v>54</v>
      </c>
      <c r="L81" s="1" t="s">
        <v>91</v>
      </c>
      <c r="M81" s="1" t="s">
        <v>2</v>
      </c>
      <c r="O81" s="1" t="s">
        <v>504</v>
      </c>
      <c r="P81" s="1" t="s">
        <v>93</v>
      </c>
      <c r="Q81" s="8" t="s">
        <v>317</v>
      </c>
      <c r="R81" s="1" t="s">
        <v>59</v>
      </c>
      <c r="S81" s="1" t="s">
        <v>61</v>
      </c>
      <c r="T81" s="1" t="s">
        <v>679</v>
      </c>
    </row>
    <row r="82" ht="15.75" customHeight="1">
      <c r="A82" s="8" t="s">
        <v>780</v>
      </c>
      <c r="B82" s="1" t="s">
        <v>782</v>
      </c>
      <c r="C82" s="1">
        <v>4.4</v>
      </c>
      <c r="D82" s="1">
        <v>-27.0</v>
      </c>
      <c r="E82" s="1" t="s">
        <v>115</v>
      </c>
      <c r="F82" s="1" t="s">
        <v>52</v>
      </c>
      <c r="G82" s="1" t="s">
        <v>52</v>
      </c>
      <c r="H82" s="1" t="s">
        <v>785</v>
      </c>
      <c r="I82" s="1" t="s">
        <v>54</v>
      </c>
      <c r="J82" s="1" t="s">
        <v>52</v>
      </c>
      <c r="K82" s="1" t="s">
        <v>786</v>
      </c>
      <c r="L82" s="1" t="s">
        <v>91</v>
      </c>
      <c r="M82" s="1" t="s">
        <v>2</v>
      </c>
      <c r="P82" s="1" t="s">
        <v>93</v>
      </c>
      <c r="Q82" s="8" t="s">
        <v>787</v>
      </c>
      <c r="R82" s="1" t="s">
        <v>59</v>
      </c>
      <c r="S82" s="1" t="s">
        <v>61</v>
      </c>
      <c r="T82" s="1" t="s">
        <v>56</v>
      </c>
    </row>
    <row r="83" ht="15.75" customHeight="1">
      <c r="A83" s="8" t="s">
        <v>380</v>
      </c>
      <c r="B83" s="1" t="s">
        <v>375</v>
      </c>
      <c r="C83" s="1">
        <v>5.0</v>
      </c>
      <c r="D83" s="1">
        <v>-59.0</v>
      </c>
      <c r="E83" s="1" t="s">
        <v>384</v>
      </c>
      <c r="F83" s="1" t="s">
        <v>52</v>
      </c>
      <c r="G83" s="1" t="s">
        <v>52</v>
      </c>
      <c r="H83" s="1" t="s">
        <v>386</v>
      </c>
      <c r="I83" s="1" t="s">
        <v>54</v>
      </c>
      <c r="J83" s="1" t="s">
        <v>52</v>
      </c>
      <c r="K83" s="1" t="s">
        <v>387</v>
      </c>
      <c r="L83" s="1" t="s">
        <v>91</v>
      </c>
      <c r="M83" s="1" t="s">
        <v>2</v>
      </c>
      <c r="P83" s="1" t="s">
        <v>93</v>
      </c>
      <c r="Q83" s="8" t="s">
        <v>373</v>
      </c>
      <c r="R83" s="1" t="s">
        <v>59</v>
      </c>
      <c r="S83" s="1" t="s">
        <v>61</v>
      </c>
      <c r="T83" s="1" t="s">
        <v>220</v>
      </c>
    </row>
    <row r="84" ht="15.75" customHeight="1">
      <c r="A84" s="8" t="s">
        <v>563</v>
      </c>
      <c r="B84" s="1" t="s">
        <v>562</v>
      </c>
      <c r="C84" s="1">
        <v>4.5</v>
      </c>
      <c r="D84" s="1">
        <v>-31.0</v>
      </c>
      <c r="E84" s="1" t="s">
        <v>192</v>
      </c>
      <c r="F84" s="1" t="s">
        <v>52</v>
      </c>
      <c r="G84" s="1" t="s">
        <v>567</v>
      </c>
      <c r="H84" s="1" t="s">
        <v>54</v>
      </c>
      <c r="I84" s="1" t="s">
        <v>679</v>
      </c>
      <c r="J84" s="1" t="s">
        <v>52</v>
      </c>
      <c r="K84" s="1" t="s">
        <v>568</v>
      </c>
      <c r="L84" s="1" t="s">
        <v>59</v>
      </c>
      <c r="M84" s="1" t="s">
        <v>61</v>
      </c>
    </row>
    <row r="85" ht="15.75" customHeight="1">
      <c r="A85" s="8" t="s">
        <v>667</v>
      </c>
      <c r="B85" s="1" t="s">
        <v>666</v>
      </c>
      <c r="C85" s="1">
        <v>4.9</v>
      </c>
      <c r="D85" s="1">
        <v>-101.0</v>
      </c>
      <c r="E85" s="1" t="s">
        <v>51</v>
      </c>
      <c r="F85" s="1" t="s">
        <v>52</v>
      </c>
      <c r="G85" s="1" t="s">
        <v>670</v>
      </c>
      <c r="H85" s="1" t="s">
        <v>52</v>
      </c>
      <c r="I85" s="1" t="s">
        <v>54</v>
      </c>
      <c r="K85" s="1" t="s">
        <v>671</v>
      </c>
      <c r="L85" s="1" t="s">
        <v>91</v>
      </c>
      <c r="M85" s="1" t="s">
        <v>2</v>
      </c>
      <c r="Q85" s="8" t="s">
        <v>664</v>
      </c>
      <c r="R85" s="1" t="s">
        <v>59</v>
      </c>
      <c r="S85" s="1" t="s">
        <v>61</v>
      </c>
      <c r="T85" s="1" t="s">
        <v>220</v>
      </c>
    </row>
    <row r="86" ht="15.75" customHeight="1">
      <c r="A86" s="8" t="s">
        <v>512</v>
      </c>
      <c r="B86" s="1" t="s">
        <v>510</v>
      </c>
      <c r="C86" s="1">
        <v>4.9</v>
      </c>
      <c r="D86" s="1">
        <v>-757.0</v>
      </c>
      <c r="E86" s="1" t="s">
        <v>514</v>
      </c>
      <c r="F86" s="1" t="s">
        <v>52</v>
      </c>
      <c r="G86" s="1" t="s">
        <v>52</v>
      </c>
      <c r="H86" s="1" t="s">
        <v>800</v>
      </c>
      <c r="I86" s="1" t="s">
        <v>54</v>
      </c>
      <c r="J86" s="1" t="s">
        <v>52</v>
      </c>
      <c r="K86" s="1" t="s">
        <v>515</v>
      </c>
      <c r="L86" s="1" t="s">
        <v>91</v>
      </c>
      <c r="M86" s="1" t="s">
        <v>2</v>
      </c>
      <c r="O86" s="1" t="s">
        <v>504</v>
      </c>
      <c r="P86" s="1" t="s">
        <v>93</v>
      </c>
      <c r="Q86" s="8" t="s">
        <v>509</v>
      </c>
      <c r="R86" s="1" t="s">
        <v>59</v>
      </c>
      <c r="S86" s="1" t="s">
        <v>61</v>
      </c>
      <c r="T86" s="1" t="s">
        <v>236</v>
      </c>
    </row>
    <row r="87" ht="15.75" customHeight="1">
      <c r="A87" s="8" t="s">
        <v>654</v>
      </c>
      <c r="B87" s="1" t="s">
        <v>652</v>
      </c>
      <c r="C87" s="1">
        <v>4.7</v>
      </c>
      <c r="D87" s="1">
        <v>-108.0</v>
      </c>
      <c r="E87" s="1" t="s">
        <v>655</v>
      </c>
      <c r="F87" s="1" t="s">
        <v>52</v>
      </c>
      <c r="G87" s="1" t="s">
        <v>656</v>
      </c>
      <c r="H87" s="1" t="s">
        <v>52</v>
      </c>
      <c r="I87" s="1" t="s">
        <v>642</v>
      </c>
      <c r="K87" s="1" t="s">
        <v>657</v>
      </c>
      <c r="L87" s="1" t="s">
        <v>91</v>
      </c>
      <c r="M87" s="1" t="s">
        <v>2</v>
      </c>
      <c r="O87" s="1" t="s">
        <v>504</v>
      </c>
      <c r="Q87" s="8" t="s">
        <v>650</v>
      </c>
      <c r="R87" s="1" t="s">
        <v>59</v>
      </c>
      <c r="S87" s="1" t="s">
        <v>61</v>
      </c>
      <c r="T87" s="1" t="s">
        <v>812</v>
      </c>
    </row>
    <row r="88" ht="15.75" customHeight="1">
      <c r="A88" s="8" t="s">
        <v>756</v>
      </c>
      <c r="B88" s="1" t="s">
        <v>753</v>
      </c>
      <c r="C88" s="1">
        <v>4.7</v>
      </c>
      <c r="D88" s="1">
        <v>-421.0</v>
      </c>
      <c r="E88" s="1" t="s">
        <v>83</v>
      </c>
      <c r="F88" s="1" t="s">
        <v>52</v>
      </c>
      <c r="G88" s="1" t="s">
        <v>52</v>
      </c>
      <c r="H88" s="1" t="s">
        <v>757</v>
      </c>
      <c r="I88" s="1" t="s">
        <v>89</v>
      </c>
      <c r="J88" s="1" t="s">
        <v>52</v>
      </c>
      <c r="K88" s="1" t="s">
        <v>758</v>
      </c>
      <c r="L88" s="1" t="s">
        <v>91</v>
      </c>
      <c r="M88" s="1" t="s">
        <v>2</v>
      </c>
      <c r="N88" s="8" t="s">
        <v>63</v>
      </c>
      <c r="O88" s="1" t="s">
        <v>721</v>
      </c>
      <c r="P88" s="1" t="s">
        <v>93</v>
      </c>
      <c r="Q88" s="8" t="s">
        <v>752</v>
      </c>
      <c r="R88" s="1" t="s">
        <v>59</v>
      </c>
      <c r="S88" s="1" t="s">
        <v>61</v>
      </c>
    </row>
    <row r="89" ht="15.75" customHeight="1">
      <c r="A89" s="8" t="s">
        <v>817</v>
      </c>
      <c r="B89" s="1" t="s">
        <v>816</v>
      </c>
      <c r="C89" s="1">
        <v>4.3</v>
      </c>
      <c r="D89" s="13">
        <v>-1293.0</v>
      </c>
      <c r="E89" s="1" t="s">
        <v>86</v>
      </c>
      <c r="F89" s="1" t="s">
        <v>52</v>
      </c>
      <c r="G89" s="1" t="s">
        <v>52</v>
      </c>
      <c r="H89" s="1" t="s">
        <v>818</v>
      </c>
      <c r="I89" s="1" t="s">
        <v>89</v>
      </c>
      <c r="J89" s="1" t="s">
        <v>52</v>
      </c>
      <c r="K89" s="1" t="s">
        <v>819</v>
      </c>
      <c r="L89" s="1" t="s">
        <v>91</v>
      </c>
      <c r="M89" s="1" t="s">
        <v>2</v>
      </c>
      <c r="N89" s="8" t="s">
        <v>63</v>
      </c>
      <c r="O89" s="1" t="s">
        <v>535</v>
      </c>
      <c r="P89" s="1" t="s">
        <v>93</v>
      </c>
      <c r="Q89" s="8" t="s">
        <v>815</v>
      </c>
      <c r="R89" s="1" t="s">
        <v>59</v>
      </c>
      <c r="S89" s="1" t="s">
        <v>61</v>
      </c>
    </row>
    <row r="90" ht="15.75" customHeight="1">
      <c r="A90" s="8" t="s">
        <v>821</v>
      </c>
      <c r="B90" s="1" t="s">
        <v>820</v>
      </c>
      <c r="C90" s="1">
        <v>4.9</v>
      </c>
      <c r="D90" s="1">
        <v>-35.0</v>
      </c>
      <c r="E90" s="1" t="s">
        <v>51</v>
      </c>
      <c r="F90" s="1" t="s">
        <v>52</v>
      </c>
      <c r="G90" s="1" t="s">
        <v>822</v>
      </c>
      <c r="H90" s="1" t="s">
        <v>54</v>
      </c>
      <c r="I90" s="1" t="s">
        <v>220</v>
      </c>
      <c r="L90" s="1" t="s">
        <v>59</v>
      </c>
      <c r="M90" s="1" t="s">
        <v>61</v>
      </c>
      <c r="N90" s="8" t="s">
        <v>63</v>
      </c>
      <c r="O90" s="1" t="s">
        <v>370</v>
      </c>
    </row>
    <row r="91" ht="15.75" customHeight="1">
      <c r="A91" s="8" t="s">
        <v>557</v>
      </c>
      <c r="B91" s="1" t="s">
        <v>556</v>
      </c>
      <c r="C91" s="1">
        <v>4.9</v>
      </c>
      <c r="D91" s="1">
        <v>-170.0</v>
      </c>
      <c r="E91" s="1" t="s">
        <v>559</v>
      </c>
      <c r="F91" s="1" t="s">
        <v>52</v>
      </c>
      <c r="G91" s="1" t="s">
        <v>560</v>
      </c>
      <c r="H91" s="1" t="s">
        <v>54</v>
      </c>
      <c r="I91" s="1" t="s">
        <v>77</v>
      </c>
      <c r="J91" s="1" t="s">
        <v>52</v>
      </c>
      <c r="K91" s="1" t="s">
        <v>165</v>
      </c>
      <c r="L91" s="1" t="s">
        <v>59</v>
      </c>
      <c r="M91" s="1" t="s">
        <v>61</v>
      </c>
      <c r="N91" s="8" t="s">
        <v>63</v>
      </c>
      <c r="O91" s="1" t="s">
        <v>584</v>
      </c>
    </row>
    <row r="92" ht="15.75" customHeight="1">
      <c r="A92" s="8" t="s">
        <v>824</v>
      </c>
      <c r="B92" s="1" t="s">
        <v>825</v>
      </c>
      <c r="C92" s="1">
        <v>4.8</v>
      </c>
      <c r="D92" s="13">
        <v>-2651.0</v>
      </c>
      <c r="E92" s="1" t="s">
        <v>102</v>
      </c>
      <c r="F92" s="1" t="s">
        <v>52</v>
      </c>
      <c r="G92" s="1" t="s">
        <v>52</v>
      </c>
      <c r="H92" s="1" t="s">
        <v>826</v>
      </c>
      <c r="I92" s="1" t="s">
        <v>54</v>
      </c>
      <c r="J92" s="1" t="s">
        <v>52</v>
      </c>
      <c r="K92" s="1" t="s">
        <v>827</v>
      </c>
      <c r="L92" s="1" t="s">
        <v>91</v>
      </c>
      <c r="M92" s="1" t="s">
        <v>2</v>
      </c>
      <c r="N92" s="8" t="s">
        <v>63</v>
      </c>
      <c r="O92" s="1" t="s">
        <v>112</v>
      </c>
      <c r="P92" s="1" t="s">
        <v>401</v>
      </c>
      <c r="Q92" s="8" t="s">
        <v>828</v>
      </c>
      <c r="R92" s="1" t="s">
        <v>59</v>
      </c>
      <c r="S92" s="1" t="s">
        <v>61</v>
      </c>
      <c r="T92" s="1" t="s">
        <v>236</v>
      </c>
      <c r="U92" s="1" t="s">
        <v>175</v>
      </c>
      <c r="V92" s="1" t="s">
        <v>695</v>
      </c>
    </row>
    <row r="93" ht="15.75" customHeight="1">
      <c r="A93" s="8" t="s">
        <v>716</v>
      </c>
      <c r="B93" s="1" t="s">
        <v>715</v>
      </c>
      <c r="C93" s="1">
        <v>4.9</v>
      </c>
      <c r="D93" s="1">
        <v>-28.0</v>
      </c>
      <c r="E93" s="1" t="s">
        <v>181</v>
      </c>
      <c r="F93" s="1" t="s">
        <v>52</v>
      </c>
      <c r="G93" s="1" t="s">
        <v>719</v>
      </c>
      <c r="H93" s="1" t="s">
        <v>54</v>
      </c>
      <c r="I93" s="1" t="s">
        <v>256</v>
      </c>
      <c r="J93" s="1" t="s">
        <v>52</v>
      </c>
      <c r="K93" s="1" t="s">
        <v>720</v>
      </c>
      <c r="L93" s="1" t="s">
        <v>59</v>
      </c>
      <c r="M93" s="1" t="s">
        <v>61</v>
      </c>
      <c r="N93" s="8" t="s">
        <v>63</v>
      </c>
      <c r="O93" s="1" t="s">
        <v>798</v>
      </c>
    </row>
    <row r="94" ht="15.75" customHeight="1">
      <c r="A94" s="8" t="s">
        <v>531</v>
      </c>
      <c r="B94" s="1" t="s">
        <v>529</v>
      </c>
      <c r="C94" s="1">
        <v>4.9</v>
      </c>
      <c r="D94" s="1">
        <v>-590.0</v>
      </c>
      <c r="E94" s="1" t="s">
        <v>279</v>
      </c>
      <c r="F94" s="1" t="s">
        <v>52</v>
      </c>
      <c r="G94" s="1" t="s">
        <v>533</v>
      </c>
      <c r="H94" s="1" t="s">
        <v>52</v>
      </c>
      <c r="I94" s="1" t="s">
        <v>54</v>
      </c>
      <c r="K94" s="1" t="s">
        <v>534</v>
      </c>
      <c r="L94" s="1" t="s">
        <v>91</v>
      </c>
      <c r="M94" s="1" t="s">
        <v>2</v>
      </c>
      <c r="N94" s="8" t="s">
        <v>63</v>
      </c>
      <c r="O94" s="1" t="s">
        <v>266</v>
      </c>
      <c r="Q94" s="8" t="s">
        <v>526</v>
      </c>
      <c r="R94" s="1" t="s">
        <v>59</v>
      </c>
      <c r="S94" s="1" t="s">
        <v>61</v>
      </c>
      <c r="T94" s="1" t="s">
        <v>77</v>
      </c>
      <c r="U94" s="1" t="s">
        <v>130</v>
      </c>
      <c r="V94" s="1" t="s">
        <v>267</v>
      </c>
    </row>
    <row r="95" ht="15.75" customHeight="1">
      <c r="A95" s="8" t="s">
        <v>363</v>
      </c>
      <c r="B95" s="1" t="s">
        <v>362</v>
      </c>
      <c r="C95" s="1">
        <v>4.2</v>
      </c>
      <c r="D95" s="1">
        <v>-75.0</v>
      </c>
      <c r="E95" s="1" t="s">
        <v>74</v>
      </c>
      <c r="F95" s="1" t="s">
        <v>52</v>
      </c>
      <c r="G95" s="1" t="s">
        <v>52</v>
      </c>
      <c r="H95" s="1" t="s">
        <v>371</v>
      </c>
      <c r="I95" s="1" t="s">
        <v>377</v>
      </c>
      <c r="J95" s="1" t="s">
        <v>367</v>
      </c>
      <c r="K95" s="1" t="s">
        <v>368</v>
      </c>
      <c r="L95" s="1" t="s">
        <v>59</v>
      </c>
      <c r="M95" s="1" t="s">
        <v>61</v>
      </c>
      <c r="N95" s="8" t="s">
        <v>63</v>
      </c>
      <c r="O95" s="1" t="s">
        <v>835</v>
      </c>
      <c r="P95" s="1" t="s">
        <v>93</v>
      </c>
      <c r="T95" s="1" t="s">
        <v>52</v>
      </c>
      <c r="U95" s="1" t="s">
        <v>130</v>
      </c>
      <c r="V95" s="1" t="s">
        <v>836</v>
      </c>
    </row>
    <row r="96" ht="15.75" customHeight="1">
      <c r="A96" s="8" t="s">
        <v>579</v>
      </c>
      <c r="B96" s="1" t="s">
        <v>578</v>
      </c>
      <c r="C96" s="1">
        <v>5.0</v>
      </c>
      <c r="D96" s="1">
        <v>-31.0</v>
      </c>
      <c r="E96" s="1" t="s">
        <v>102</v>
      </c>
      <c r="F96" s="1" t="s">
        <v>52</v>
      </c>
      <c r="G96" s="1" t="s">
        <v>582</v>
      </c>
      <c r="H96" s="1" t="s">
        <v>54</v>
      </c>
      <c r="I96" s="1" t="s">
        <v>77</v>
      </c>
      <c r="L96" s="1" t="s">
        <v>59</v>
      </c>
      <c r="M96" s="1" t="s">
        <v>61</v>
      </c>
      <c r="N96" s="8" t="s">
        <v>63</v>
      </c>
      <c r="O96" s="1" t="s">
        <v>547</v>
      </c>
      <c r="U96" s="1" t="s">
        <v>455</v>
      </c>
      <c r="V96" s="1" t="s">
        <v>548</v>
      </c>
    </row>
    <row r="97" ht="15.75" customHeight="1">
      <c r="A97" s="8" t="s">
        <v>692</v>
      </c>
      <c r="B97" s="1" t="s">
        <v>688</v>
      </c>
      <c r="C97" s="1">
        <v>4.9</v>
      </c>
      <c r="D97" s="1">
        <v>-68.0</v>
      </c>
      <c r="E97" s="1" t="s">
        <v>51</v>
      </c>
      <c r="F97" s="1" t="s">
        <v>52</v>
      </c>
      <c r="G97" s="1" t="s">
        <v>52</v>
      </c>
      <c r="H97" s="1" t="s">
        <v>694</v>
      </c>
      <c r="I97" s="1" t="s">
        <v>54</v>
      </c>
      <c r="L97" s="1" t="s">
        <v>91</v>
      </c>
      <c r="M97" s="1" t="s">
        <v>2</v>
      </c>
      <c r="N97" s="8" t="s">
        <v>63</v>
      </c>
      <c r="O97" s="1" t="s">
        <v>806</v>
      </c>
      <c r="P97" s="1" t="s">
        <v>93</v>
      </c>
      <c r="Q97" s="8" t="s">
        <v>685</v>
      </c>
      <c r="R97" s="1" t="s">
        <v>59</v>
      </c>
      <c r="S97" s="1" t="s">
        <v>61</v>
      </c>
      <c r="T97" s="1" t="s">
        <v>56</v>
      </c>
    </row>
    <row r="98" ht="15.75" customHeight="1">
      <c r="A98" s="8" t="s">
        <v>794</v>
      </c>
      <c r="B98" s="1" t="s">
        <v>793</v>
      </c>
      <c r="C98" s="1">
        <v>4.8</v>
      </c>
      <c r="D98" s="13">
        <v>-1118.0</v>
      </c>
      <c r="E98" s="1" t="s">
        <v>298</v>
      </c>
      <c r="F98" s="1" t="s">
        <v>52</v>
      </c>
      <c r="G98" s="1" t="s">
        <v>52</v>
      </c>
      <c r="H98" s="1" t="s">
        <v>796</v>
      </c>
      <c r="I98" s="1" t="s">
        <v>89</v>
      </c>
      <c r="J98" s="1" t="s">
        <v>52</v>
      </c>
      <c r="K98" s="1" t="s">
        <v>797</v>
      </c>
      <c r="L98" s="1" t="s">
        <v>91</v>
      </c>
      <c r="M98" s="1" t="s">
        <v>2</v>
      </c>
      <c r="N98" s="8" t="s">
        <v>63</v>
      </c>
      <c r="O98" s="1" t="s">
        <v>357</v>
      </c>
      <c r="P98" s="1" t="s">
        <v>93</v>
      </c>
      <c r="Q98" s="8" t="s">
        <v>792</v>
      </c>
      <c r="R98" s="1" t="s">
        <v>59</v>
      </c>
      <c r="S98" s="1" t="s">
        <v>61</v>
      </c>
      <c r="U98" s="1" t="s">
        <v>175</v>
      </c>
      <c r="V98" s="1" t="s">
        <v>359</v>
      </c>
    </row>
    <row r="99" ht="15.75" customHeight="1">
      <c r="A99" s="8" t="s">
        <v>261</v>
      </c>
      <c r="B99" s="1" t="s">
        <v>260</v>
      </c>
      <c r="C99" s="1">
        <v>4.9</v>
      </c>
      <c r="D99" s="1">
        <v>-16.0</v>
      </c>
      <c r="E99" s="1" t="s">
        <v>192</v>
      </c>
      <c r="F99" s="1" t="s">
        <v>52</v>
      </c>
      <c r="G99" s="1" t="s">
        <v>262</v>
      </c>
      <c r="H99" s="1" t="s">
        <v>52</v>
      </c>
      <c r="I99" s="1" t="s">
        <v>54</v>
      </c>
      <c r="K99" s="1" t="s">
        <v>263</v>
      </c>
      <c r="L99" s="1" t="s">
        <v>91</v>
      </c>
      <c r="M99" s="1" t="s">
        <v>2</v>
      </c>
      <c r="N99" s="8" t="s">
        <v>63</v>
      </c>
      <c r="O99" s="1" t="s">
        <v>112</v>
      </c>
      <c r="Q99" s="8" t="s">
        <v>259</v>
      </c>
      <c r="R99" s="1" t="s">
        <v>59</v>
      </c>
      <c r="S99" s="1" t="s">
        <v>61</v>
      </c>
      <c r="T99" s="1" t="s">
        <v>243</v>
      </c>
      <c r="U99" s="1" t="s">
        <v>130</v>
      </c>
      <c r="V99" s="1" t="s">
        <v>430</v>
      </c>
    </row>
    <row r="100" ht="15.75" customHeight="1">
      <c r="A100" s="8" t="s">
        <v>845</v>
      </c>
      <c r="B100" s="1" t="s">
        <v>846</v>
      </c>
      <c r="C100" s="1">
        <v>4.7</v>
      </c>
      <c r="D100" s="1">
        <v>-10.0</v>
      </c>
      <c r="E100" s="1" t="s">
        <v>847</v>
      </c>
      <c r="F100" s="1" t="s">
        <v>52</v>
      </c>
      <c r="G100" s="1" t="s">
        <v>52</v>
      </c>
      <c r="H100" s="1" t="s">
        <v>54</v>
      </c>
      <c r="I100" s="1" t="s">
        <v>236</v>
      </c>
      <c r="J100" s="1" t="s">
        <v>849</v>
      </c>
      <c r="K100" s="1" t="s">
        <v>850</v>
      </c>
      <c r="L100" s="1" t="s">
        <v>59</v>
      </c>
      <c r="M100" s="1" t="s">
        <v>61</v>
      </c>
      <c r="N100" s="8" t="s">
        <v>63</v>
      </c>
      <c r="O100" s="1" t="s">
        <v>541</v>
      </c>
      <c r="P100" s="1" t="s">
        <v>93</v>
      </c>
      <c r="T100" s="1" t="s">
        <v>52</v>
      </c>
      <c r="U100" s="1" t="s">
        <v>455</v>
      </c>
      <c r="V100" s="1" t="s">
        <v>481</v>
      </c>
    </row>
    <row r="101" ht="15.75" customHeight="1">
      <c r="A101" s="8" t="s">
        <v>544</v>
      </c>
      <c r="B101" s="1" t="s">
        <v>543</v>
      </c>
      <c r="C101" s="1">
        <v>4.8</v>
      </c>
      <c r="D101" s="1">
        <v>-174.0</v>
      </c>
      <c r="E101" s="1" t="s">
        <v>322</v>
      </c>
      <c r="F101" s="1" t="s">
        <v>52</v>
      </c>
      <c r="G101" s="1" t="s">
        <v>545</v>
      </c>
      <c r="H101" s="1" t="s">
        <v>52</v>
      </c>
      <c r="I101" s="1" t="s">
        <v>642</v>
      </c>
      <c r="K101" s="1" t="s">
        <v>546</v>
      </c>
      <c r="L101" s="1" t="s">
        <v>91</v>
      </c>
      <c r="M101" s="1" t="s">
        <v>2</v>
      </c>
      <c r="N101" s="8" t="s">
        <v>63</v>
      </c>
      <c r="O101" s="1" t="s">
        <v>112</v>
      </c>
      <c r="Q101" s="8" t="s">
        <v>542</v>
      </c>
      <c r="R101" s="1" t="s">
        <v>59</v>
      </c>
      <c r="S101" s="1" t="s">
        <v>61</v>
      </c>
      <c r="T101" s="1" t="s">
        <v>812</v>
      </c>
      <c r="U101" s="1" t="s">
        <v>175</v>
      </c>
      <c r="V101" s="1" t="s">
        <v>114</v>
      </c>
    </row>
    <row r="102" ht="15.75" customHeight="1">
      <c r="A102" s="8" t="s">
        <v>802</v>
      </c>
      <c r="B102" s="1" t="s">
        <v>801</v>
      </c>
      <c r="C102" s="1">
        <v>4.4</v>
      </c>
      <c r="D102" s="13">
        <v>-3488.0</v>
      </c>
      <c r="E102" s="1" t="s">
        <v>278</v>
      </c>
      <c r="F102" s="1" t="s">
        <v>52</v>
      </c>
      <c r="G102" s="1" t="s">
        <v>52</v>
      </c>
      <c r="H102" s="1" t="s">
        <v>804</v>
      </c>
      <c r="I102" s="1" t="s">
        <v>89</v>
      </c>
      <c r="J102" s="1" t="s">
        <v>52</v>
      </c>
      <c r="K102" s="1" t="s">
        <v>805</v>
      </c>
      <c r="L102" s="1" t="s">
        <v>91</v>
      </c>
      <c r="M102" s="1" t="s">
        <v>2</v>
      </c>
      <c r="N102" s="8" t="s">
        <v>63</v>
      </c>
      <c r="O102" s="1" t="s">
        <v>496</v>
      </c>
      <c r="P102" s="1" t="s">
        <v>93</v>
      </c>
      <c r="Q102" s="8" t="s">
        <v>799</v>
      </c>
      <c r="R102" s="1" t="s">
        <v>59</v>
      </c>
      <c r="S102" s="1" t="s">
        <v>61</v>
      </c>
    </row>
    <row r="103" ht="15.75" customHeight="1">
      <c r="A103" s="8" t="s">
        <v>350</v>
      </c>
      <c r="B103" s="1" t="s">
        <v>349</v>
      </c>
      <c r="C103" s="1">
        <v>4.9</v>
      </c>
      <c r="D103" s="1">
        <v>-147.0</v>
      </c>
      <c r="E103" s="1" t="s">
        <v>102</v>
      </c>
      <c r="F103" s="1" t="s">
        <v>52</v>
      </c>
      <c r="G103" s="1" t="s">
        <v>52</v>
      </c>
      <c r="H103" s="1" t="s">
        <v>355</v>
      </c>
      <c r="I103" s="1" t="s">
        <v>54</v>
      </c>
      <c r="J103" s="1" t="s">
        <v>52</v>
      </c>
      <c r="K103" s="1" t="s">
        <v>356</v>
      </c>
      <c r="L103" s="1" t="s">
        <v>91</v>
      </c>
      <c r="M103" s="1" t="s">
        <v>2</v>
      </c>
      <c r="N103" s="8" t="s">
        <v>63</v>
      </c>
      <c r="O103" s="1" t="s">
        <v>225</v>
      </c>
      <c r="P103" s="1" t="s">
        <v>93</v>
      </c>
      <c r="Q103" s="8" t="s">
        <v>345</v>
      </c>
      <c r="R103" s="1" t="s">
        <v>59</v>
      </c>
      <c r="S103" s="1" t="s">
        <v>61</v>
      </c>
      <c r="T103" s="1" t="s">
        <v>220</v>
      </c>
      <c r="U103" s="1" t="s">
        <v>237</v>
      </c>
      <c r="V103" s="1" t="s">
        <v>226</v>
      </c>
    </row>
    <row r="104" ht="15.75" customHeight="1">
      <c r="A104" s="8" t="s">
        <v>424</v>
      </c>
      <c r="B104" s="1" t="s">
        <v>423</v>
      </c>
      <c r="C104" s="1">
        <v>3.8</v>
      </c>
      <c r="D104" s="1">
        <v>-82.0</v>
      </c>
      <c r="E104" s="1" t="s">
        <v>83</v>
      </c>
      <c r="F104" s="1" t="s">
        <v>52</v>
      </c>
      <c r="G104" s="1" t="s">
        <v>52</v>
      </c>
      <c r="H104" s="1" t="s">
        <v>428</v>
      </c>
      <c r="I104" s="1" t="s">
        <v>89</v>
      </c>
      <c r="J104" s="1" t="s">
        <v>52</v>
      </c>
      <c r="K104" s="1" t="s">
        <v>429</v>
      </c>
      <c r="L104" s="1" t="s">
        <v>91</v>
      </c>
      <c r="M104" s="1" t="s">
        <v>2</v>
      </c>
      <c r="N104" s="8" t="s">
        <v>63</v>
      </c>
      <c r="O104" s="1" t="s">
        <v>112</v>
      </c>
      <c r="P104" s="1" t="s">
        <v>93</v>
      </c>
      <c r="Q104" s="8" t="s">
        <v>420</v>
      </c>
      <c r="R104" s="1" t="s">
        <v>59</v>
      </c>
      <c r="S104" s="1" t="s">
        <v>61</v>
      </c>
      <c r="U104" s="1" t="s">
        <v>328</v>
      </c>
      <c r="V104" s="1" t="s">
        <v>283</v>
      </c>
    </row>
    <row r="105" ht="15.75" customHeight="1">
      <c r="A105" s="8" t="s">
        <v>538</v>
      </c>
      <c r="B105" s="1" t="s">
        <v>537</v>
      </c>
      <c r="C105" s="1">
        <v>4.6</v>
      </c>
      <c r="D105" s="1">
        <v>-22.0</v>
      </c>
      <c r="E105" s="1" t="s">
        <v>74</v>
      </c>
      <c r="F105" s="1" t="s">
        <v>52</v>
      </c>
      <c r="G105" s="1" t="s">
        <v>539</v>
      </c>
      <c r="H105" s="1" t="s">
        <v>54</v>
      </c>
      <c r="I105" s="1" t="s">
        <v>56</v>
      </c>
      <c r="J105" s="1" t="s">
        <v>52</v>
      </c>
      <c r="K105" s="1" t="s">
        <v>540</v>
      </c>
      <c r="L105" s="1" t="s">
        <v>59</v>
      </c>
      <c r="M105" s="1" t="s">
        <v>61</v>
      </c>
      <c r="N105" s="8" t="s">
        <v>63</v>
      </c>
      <c r="O105" s="1" t="s">
        <v>480</v>
      </c>
      <c r="U105" s="1" t="s">
        <v>328</v>
      </c>
      <c r="V105" s="1" t="s">
        <v>481</v>
      </c>
    </row>
    <row r="106" ht="15.75" customHeight="1">
      <c r="A106" s="8" t="s">
        <v>109</v>
      </c>
      <c r="B106" s="1" t="s">
        <v>107</v>
      </c>
      <c r="C106" s="1">
        <v>5.0</v>
      </c>
      <c r="D106" s="1">
        <v>-5.0</v>
      </c>
      <c r="E106" s="1" t="s">
        <v>51</v>
      </c>
      <c r="F106" s="1" t="s">
        <v>52</v>
      </c>
      <c r="G106" s="1" t="s">
        <v>111</v>
      </c>
      <c r="H106" s="1" t="s">
        <v>858</v>
      </c>
      <c r="L106" s="1" t="s">
        <v>59</v>
      </c>
      <c r="M106" s="1" t="s">
        <v>61</v>
      </c>
    </row>
    <row r="107" ht="15.75" customHeight="1">
      <c r="A107" s="8" t="s">
        <v>489</v>
      </c>
      <c r="B107" s="1" t="s">
        <v>485</v>
      </c>
      <c r="C107" s="1">
        <v>5.0</v>
      </c>
      <c r="D107" s="1">
        <v>-44.0</v>
      </c>
      <c r="E107" s="1" t="s">
        <v>51</v>
      </c>
      <c r="F107" s="1" t="s">
        <v>52</v>
      </c>
      <c r="G107" s="1" t="s">
        <v>52</v>
      </c>
      <c r="H107" s="1" t="s">
        <v>494</v>
      </c>
      <c r="I107" s="1" t="s">
        <v>642</v>
      </c>
      <c r="J107" s="1" t="s">
        <v>52</v>
      </c>
      <c r="K107" s="1" t="s">
        <v>495</v>
      </c>
      <c r="L107" s="1" t="s">
        <v>91</v>
      </c>
      <c r="M107" s="1" t="s">
        <v>2</v>
      </c>
      <c r="N107" s="8" t="s">
        <v>63</v>
      </c>
      <c r="O107" s="1" t="s">
        <v>235</v>
      </c>
      <c r="P107" s="1" t="s">
        <v>401</v>
      </c>
      <c r="Q107" s="8" t="s">
        <v>482</v>
      </c>
      <c r="R107" s="1" t="s">
        <v>59</v>
      </c>
      <c r="S107" s="1" t="s">
        <v>61</v>
      </c>
      <c r="T107" s="1" t="s">
        <v>859</v>
      </c>
    </row>
    <row r="108" ht="15.75" customHeight="1">
      <c r="A108" s="8" t="s">
        <v>218</v>
      </c>
      <c r="B108" s="1" t="s">
        <v>216</v>
      </c>
      <c r="C108" s="1">
        <v>4.9</v>
      </c>
      <c r="D108" s="1">
        <v>-100.0</v>
      </c>
      <c r="E108" s="1" t="s">
        <v>222</v>
      </c>
      <c r="F108" s="1" t="s">
        <v>52</v>
      </c>
      <c r="G108" s="1" t="s">
        <v>52</v>
      </c>
      <c r="H108" s="1" t="s">
        <v>223</v>
      </c>
      <c r="I108" s="1" t="s">
        <v>642</v>
      </c>
      <c r="J108" s="1" t="s">
        <v>52</v>
      </c>
      <c r="K108" s="1" t="s">
        <v>224</v>
      </c>
      <c r="L108" s="1" t="s">
        <v>91</v>
      </c>
      <c r="M108" s="1" t="s">
        <v>2</v>
      </c>
      <c r="N108" s="8" t="s">
        <v>63</v>
      </c>
      <c r="O108" s="1" t="s">
        <v>316</v>
      </c>
      <c r="P108" s="1" t="s">
        <v>401</v>
      </c>
      <c r="Q108" s="8" t="s">
        <v>213</v>
      </c>
      <c r="R108" s="1" t="s">
        <v>59</v>
      </c>
      <c r="S108" s="1" t="s">
        <v>61</v>
      </c>
      <c r="T108" s="1" t="s">
        <v>766</v>
      </c>
    </row>
    <row r="109" ht="15.75" customHeight="1">
      <c r="A109" s="8" t="s">
        <v>861</v>
      </c>
      <c r="B109" s="1" t="s">
        <v>862</v>
      </c>
      <c r="C109" s="1">
        <v>4.9</v>
      </c>
      <c r="D109" s="1">
        <v>-147.0</v>
      </c>
      <c r="E109" s="1" t="s">
        <v>863</v>
      </c>
      <c r="F109" s="1" t="s">
        <v>52</v>
      </c>
      <c r="G109" s="1" t="s">
        <v>864</v>
      </c>
      <c r="H109" s="1" t="s">
        <v>52</v>
      </c>
      <c r="I109" s="1" t="s">
        <v>54</v>
      </c>
      <c r="K109" s="1" t="s">
        <v>865</v>
      </c>
      <c r="L109" s="1" t="s">
        <v>91</v>
      </c>
      <c r="M109" s="1" t="s">
        <v>2</v>
      </c>
      <c r="N109" s="8" t="s">
        <v>63</v>
      </c>
      <c r="O109" s="1" t="s">
        <v>682</v>
      </c>
      <c r="Q109" s="8" t="s">
        <v>866</v>
      </c>
      <c r="R109" s="1" t="s">
        <v>59</v>
      </c>
      <c r="S109" s="1" t="s">
        <v>61</v>
      </c>
      <c r="T109" s="1" t="s">
        <v>256</v>
      </c>
    </row>
    <row r="110" ht="15.75" customHeight="1">
      <c r="A110" s="8" t="s">
        <v>276</v>
      </c>
      <c r="B110" s="1" t="s">
        <v>271</v>
      </c>
      <c r="C110" s="1">
        <v>4.9</v>
      </c>
      <c r="D110" s="13">
        <v>-1690.0</v>
      </c>
      <c r="E110" s="1" t="s">
        <v>279</v>
      </c>
      <c r="F110" s="1" t="s">
        <v>52</v>
      </c>
      <c r="G110" s="1" t="s">
        <v>52</v>
      </c>
      <c r="H110" s="1" t="s">
        <v>280</v>
      </c>
      <c r="I110" s="1" t="s">
        <v>122</v>
      </c>
      <c r="J110" s="1" t="s">
        <v>52</v>
      </c>
      <c r="K110" s="1" t="s">
        <v>281</v>
      </c>
      <c r="L110" s="1" t="s">
        <v>91</v>
      </c>
      <c r="M110" s="1" t="s">
        <v>2</v>
      </c>
      <c r="N110" s="8" t="s">
        <v>63</v>
      </c>
      <c r="O110" s="1" t="s">
        <v>790</v>
      </c>
      <c r="P110" s="1" t="s">
        <v>93</v>
      </c>
      <c r="Q110" s="8" t="s">
        <v>268</v>
      </c>
      <c r="R110" s="1" t="s">
        <v>59</v>
      </c>
      <c r="S110" s="1" t="s">
        <v>61</v>
      </c>
      <c r="T110" s="1" t="s">
        <v>536</v>
      </c>
    </row>
    <row r="111" ht="15.75" customHeight="1">
      <c r="A111" s="8" t="s">
        <v>474</v>
      </c>
      <c r="B111" s="1" t="s">
        <v>473</v>
      </c>
      <c r="C111" s="1">
        <v>4.9</v>
      </c>
      <c r="D111" s="1">
        <v>-115.0</v>
      </c>
      <c r="E111" s="1" t="s">
        <v>51</v>
      </c>
      <c r="F111" s="1" t="s">
        <v>52</v>
      </c>
      <c r="G111" s="1" t="s">
        <v>476</v>
      </c>
      <c r="H111" s="1" t="s">
        <v>54</v>
      </c>
      <c r="I111" s="1" t="s">
        <v>236</v>
      </c>
      <c r="J111" s="1" t="s">
        <v>52</v>
      </c>
      <c r="K111" s="1" t="s">
        <v>479</v>
      </c>
      <c r="L111" s="1" t="s">
        <v>59</v>
      </c>
      <c r="M111" s="1" t="s">
        <v>61</v>
      </c>
      <c r="N111" s="8" t="s">
        <v>63</v>
      </c>
      <c r="O111" s="1" t="s">
        <v>871</v>
      </c>
      <c r="U111" s="1" t="s">
        <v>328</v>
      </c>
      <c r="V111" s="1" t="s">
        <v>872</v>
      </c>
    </row>
    <row r="112" ht="15.75" customHeight="1">
      <c r="A112" s="8" t="s">
        <v>551</v>
      </c>
      <c r="B112" s="1" t="s">
        <v>550</v>
      </c>
      <c r="C112" s="1">
        <v>4.5</v>
      </c>
      <c r="D112" s="1">
        <v>-83.0</v>
      </c>
      <c r="E112" s="1" t="s">
        <v>553</v>
      </c>
      <c r="F112" s="1" t="s">
        <v>52</v>
      </c>
      <c r="G112" s="1" t="s">
        <v>52</v>
      </c>
      <c r="H112" s="1" t="s">
        <v>554</v>
      </c>
      <c r="I112" s="1" t="s">
        <v>54</v>
      </c>
      <c r="J112" s="1" t="s">
        <v>52</v>
      </c>
      <c r="K112" s="1" t="s">
        <v>555</v>
      </c>
      <c r="L112" s="1" t="s">
        <v>91</v>
      </c>
      <c r="M112" s="1" t="s">
        <v>2</v>
      </c>
      <c r="N112" s="8" t="s">
        <v>63</v>
      </c>
      <c r="O112" s="1" t="s">
        <v>155</v>
      </c>
      <c r="P112" s="1" t="s">
        <v>401</v>
      </c>
      <c r="Q112" s="8" t="s">
        <v>549</v>
      </c>
      <c r="R112" s="1" t="s">
        <v>59</v>
      </c>
      <c r="S112" s="1" t="s">
        <v>61</v>
      </c>
      <c r="T112" s="1" t="s">
        <v>220</v>
      </c>
    </row>
    <row r="113" ht="15.75" customHeight="1">
      <c r="A113" s="8" t="s">
        <v>228</v>
      </c>
      <c r="B113" s="1" t="s">
        <v>227</v>
      </c>
      <c r="C113" s="1">
        <v>1.0</v>
      </c>
      <c r="D113" s="1">
        <v>-1.0</v>
      </c>
      <c r="E113" s="1" t="s">
        <v>51</v>
      </c>
      <c r="F113" s="1" t="s">
        <v>52</v>
      </c>
      <c r="G113" s="1" t="s">
        <v>233</v>
      </c>
      <c r="H113" s="1" t="s">
        <v>54</v>
      </c>
      <c r="I113" s="1" t="s">
        <v>56</v>
      </c>
      <c r="J113" s="1" t="s">
        <v>52</v>
      </c>
      <c r="K113" s="1" t="s">
        <v>234</v>
      </c>
      <c r="L113" s="1" t="s">
        <v>59</v>
      </c>
      <c r="M113" s="1" t="s">
        <v>61</v>
      </c>
    </row>
    <row r="114" ht="15.75" customHeight="1">
      <c r="A114" s="8" t="s">
        <v>309</v>
      </c>
      <c r="B114" s="1" t="s">
        <v>305</v>
      </c>
      <c r="C114" s="1">
        <v>4.9</v>
      </c>
      <c r="D114" s="1">
        <v>-99.0</v>
      </c>
      <c r="E114" s="1" t="s">
        <v>102</v>
      </c>
      <c r="F114" s="1" t="s">
        <v>52</v>
      </c>
      <c r="G114" s="1" t="s">
        <v>314</v>
      </c>
      <c r="H114" s="1" t="s">
        <v>52</v>
      </c>
      <c r="I114" s="1" t="s">
        <v>54</v>
      </c>
      <c r="K114" s="1" t="s">
        <v>315</v>
      </c>
      <c r="L114" s="1" t="s">
        <v>91</v>
      </c>
      <c r="M114" s="1" t="s">
        <v>2</v>
      </c>
      <c r="N114" s="8" t="s">
        <v>63</v>
      </c>
      <c r="O114" s="1" t="s">
        <v>112</v>
      </c>
      <c r="Q114" s="8" t="s">
        <v>301</v>
      </c>
      <c r="R114" s="1" t="s">
        <v>59</v>
      </c>
      <c r="S114" s="1" t="s">
        <v>61</v>
      </c>
      <c r="T114" s="1" t="s">
        <v>236</v>
      </c>
      <c r="U114" s="1" t="s">
        <v>130</v>
      </c>
      <c r="V114" s="1" t="s">
        <v>857</v>
      </c>
    </row>
    <row r="115" ht="15.75" customHeight="1">
      <c r="A115" s="8" t="s">
        <v>678</v>
      </c>
      <c r="B115" s="1" t="s">
        <v>677</v>
      </c>
      <c r="C115" s="1">
        <v>4.7</v>
      </c>
      <c r="D115" s="1">
        <v>-102.0</v>
      </c>
      <c r="E115" s="1" t="s">
        <v>680</v>
      </c>
      <c r="F115" s="1" t="s">
        <v>52</v>
      </c>
      <c r="G115" s="1" t="s">
        <v>52</v>
      </c>
      <c r="H115" s="1" t="s">
        <v>681</v>
      </c>
      <c r="I115" s="1" t="s">
        <v>54</v>
      </c>
      <c r="J115" s="1" t="s">
        <v>52</v>
      </c>
      <c r="K115" s="1" t="s">
        <v>90</v>
      </c>
      <c r="L115" s="1" t="s">
        <v>91</v>
      </c>
      <c r="M115" s="1" t="s">
        <v>2</v>
      </c>
      <c r="N115" s="8" t="s">
        <v>63</v>
      </c>
      <c r="O115" s="1" t="s">
        <v>472</v>
      </c>
      <c r="P115" s="1" t="s">
        <v>93</v>
      </c>
      <c r="Q115" s="8" t="s">
        <v>673</v>
      </c>
      <c r="R115" s="1" t="s">
        <v>59</v>
      </c>
      <c r="S115" s="1" t="s">
        <v>61</v>
      </c>
      <c r="T115" s="1" t="s">
        <v>105</v>
      </c>
    </row>
    <row r="116" ht="15.75" customHeight="1">
      <c r="A116" s="8" t="s">
        <v>783</v>
      </c>
      <c r="B116" s="1" t="s">
        <v>781</v>
      </c>
      <c r="C116" s="1">
        <v>4.9</v>
      </c>
      <c r="D116" s="1">
        <v>-64.0</v>
      </c>
      <c r="E116" s="1" t="s">
        <v>51</v>
      </c>
      <c r="F116" s="1" t="s">
        <v>52</v>
      </c>
      <c r="G116" s="1" t="s">
        <v>788</v>
      </c>
      <c r="H116" s="1" t="s">
        <v>642</v>
      </c>
      <c r="I116" s="1" t="s">
        <v>884</v>
      </c>
      <c r="J116" s="1" t="s">
        <v>52</v>
      </c>
      <c r="K116" s="1" t="s">
        <v>789</v>
      </c>
      <c r="L116" s="1" t="s">
        <v>59</v>
      </c>
      <c r="M116" s="1" t="s">
        <v>61</v>
      </c>
      <c r="N116" s="8" t="s">
        <v>63</v>
      </c>
      <c r="O116" s="1" t="s">
        <v>112</v>
      </c>
      <c r="U116" s="1" t="s">
        <v>130</v>
      </c>
      <c r="V116" s="1" t="s">
        <v>128</v>
      </c>
    </row>
    <row r="117" ht="15.75" customHeight="1">
      <c r="A117" s="8" t="s">
        <v>881</v>
      </c>
      <c r="B117" s="1" t="s">
        <v>878</v>
      </c>
      <c r="C117" s="1">
        <v>5.0</v>
      </c>
      <c r="D117" s="1">
        <v>-35.0</v>
      </c>
      <c r="E117" s="1" t="s">
        <v>308</v>
      </c>
      <c r="F117" s="1" t="s">
        <v>52</v>
      </c>
      <c r="G117" s="1" t="s">
        <v>882</v>
      </c>
      <c r="H117" s="1" t="s">
        <v>52</v>
      </c>
      <c r="I117" s="1" t="s">
        <v>54</v>
      </c>
      <c r="K117" s="1" t="s">
        <v>883</v>
      </c>
      <c r="L117" s="1" t="s">
        <v>91</v>
      </c>
      <c r="M117" s="1" t="s">
        <v>2</v>
      </c>
      <c r="N117" s="8" t="s">
        <v>63</v>
      </c>
      <c r="O117" s="1" t="s">
        <v>112</v>
      </c>
      <c r="Q117" s="8" t="s">
        <v>877</v>
      </c>
      <c r="R117" s="1" t="s">
        <v>59</v>
      </c>
      <c r="S117" s="1" t="s">
        <v>61</v>
      </c>
      <c r="T117" s="1" t="s">
        <v>56</v>
      </c>
      <c r="U117" s="1" t="s">
        <v>175</v>
      </c>
      <c r="V117" s="1" t="s">
        <v>840</v>
      </c>
    </row>
    <row r="118" ht="15.75" customHeight="1">
      <c r="A118" s="8" t="s">
        <v>144</v>
      </c>
      <c r="B118" s="1" t="s">
        <v>142</v>
      </c>
      <c r="C118" s="1">
        <v>1.0</v>
      </c>
      <c r="D118" s="1">
        <v>-1.0</v>
      </c>
      <c r="E118" s="1" t="s">
        <v>152</v>
      </c>
      <c r="F118" s="1" t="s">
        <v>52</v>
      </c>
      <c r="G118" s="1" t="s">
        <v>153</v>
      </c>
      <c r="H118" s="1" t="s">
        <v>52</v>
      </c>
      <c r="I118" s="1" t="s">
        <v>89</v>
      </c>
      <c r="K118" s="1" t="s">
        <v>154</v>
      </c>
      <c r="L118" s="1" t="s">
        <v>91</v>
      </c>
      <c r="M118" s="1" t="s">
        <v>2</v>
      </c>
      <c r="O118" s="1" t="s">
        <v>504</v>
      </c>
      <c r="Q118" s="8" t="s">
        <v>141</v>
      </c>
      <c r="R118" s="1" t="s">
        <v>59</v>
      </c>
      <c r="S118" s="1" t="s">
        <v>61</v>
      </c>
    </row>
    <row r="119" ht="15.75" customHeight="1">
      <c r="A119" s="8" t="s">
        <v>99</v>
      </c>
      <c r="B119" s="1" t="s">
        <v>95</v>
      </c>
      <c r="C119" s="1">
        <v>5.0</v>
      </c>
      <c r="D119" s="1">
        <v>-263.0</v>
      </c>
      <c r="E119" s="1" t="s">
        <v>102</v>
      </c>
      <c r="F119" s="1" t="s">
        <v>52</v>
      </c>
      <c r="G119" s="1" t="s">
        <v>52</v>
      </c>
      <c r="H119" s="1" t="s">
        <v>104</v>
      </c>
      <c r="I119" s="1" t="s">
        <v>54</v>
      </c>
      <c r="L119" s="1" t="s">
        <v>91</v>
      </c>
      <c r="M119" s="1" t="s">
        <v>2</v>
      </c>
      <c r="N119" s="8" t="s">
        <v>63</v>
      </c>
      <c r="O119" s="1" t="s">
        <v>112</v>
      </c>
      <c r="P119" s="1" t="s">
        <v>401</v>
      </c>
      <c r="Q119" s="8" t="s">
        <v>87</v>
      </c>
      <c r="R119" s="1" t="s">
        <v>59</v>
      </c>
      <c r="S119" s="1" t="s">
        <v>61</v>
      </c>
      <c r="T119" s="1" t="s">
        <v>220</v>
      </c>
      <c r="U119" s="1" t="s">
        <v>237</v>
      </c>
      <c r="V119" s="1" t="s">
        <v>814</v>
      </c>
    </row>
    <row r="120" ht="15.75" customHeight="1">
      <c r="A120" s="8" t="s">
        <v>854</v>
      </c>
      <c r="B120" s="1" t="s">
        <v>853</v>
      </c>
      <c r="E120" s="1" t="s">
        <v>51</v>
      </c>
      <c r="F120" s="1" t="s">
        <v>52</v>
      </c>
      <c r="G120" s="1" t="s">
        <v>855</v>
      </c>
      <c r="H120" s="1" t="s">
        <v>54</v>
      </c>
      <c r="I120" s="1" t="s">
        <v>56</v>
      </c>
      <c r="J120" s="1" t="s">
        <v>52</v>
      </c>
      <c r="K120" s="1" t="s">
        <v>856</v>
      </c>
      <c r="L120" s="1" t="s">
        <v>59</v>
      </c>
      <c r="M120" s="1" t="s">
        <v>61</v>
      </c>
    </row>
    <row r="121" ht="15.75" customHeight="1">
      <c r="A121" s="8" t="s">
        <v>465</v>
      </c>
      <c r="B121" s="1" t="s">
        <v>463</v>
      </c>
      <c r="C121" s="1">
        <v>4.9</v>
      </c>
      <c r="D121" s="1">
        <v>-749.0</v>
      </c>
      <c r="E121" s="1" t="s">
        <v>470</v>
      </c>
      <c r="F121" s="1" t="s">
        <v>52</v>
      </c>
      <c r="G121" s="1" t="s">
        <v>52</v>
      </c>
      <c r="H121" s="1" t="s">
        <v>471</v>
      </c>
      <c r="I121" s="1" t="s">
        <v>54</v>
      </c>
      <c r="J121" s="1" t="s">
        <v>52</v>
      </c>
      <c r="K121" s="1" t="s">
        <v>419</v>
      </c>
      <c r="L121" s="1" t="s">
        <v>91</v>
      </c>
      <c r="M121" s="1" t="s">
        <v>2</v>
      </c>
      <c r="N121" s="8" t="s">
        <v>63</v>
      </c>
      <c r="O121" s="1" t="s">
        <v>594</v>
      </c>
      <c r="P121" s="1" t="s">
        <v>93</v>
      </c>
      <c r="Q121" s="8" t="s">
        <v>462</v>
      </c>
      <c r="R121" s="1" t="s">
        <v>59</v>
      </c>
      <c r="S121" s="1" t="s">
        <v>61</v>
      </c>
      <c r="T121" s="1" t="s">
        <v>220</v>
      </c>
    </row>
    <row r="122" ht="15.75" customHeight="1">
      <c r="A122" s="8" t="s">
        <v>117</v>
      </c>
      <c r="B122" s="1" t="s">
        <v>116</v>
      </c>
      <c r="E122" s="1" t="s">
        <v>51</v>
      </c>
      <c r="F122" s="1" t="s">
        <v>52</v>
      </c>
      <c r="G122" s="1" t="s">
        <v>124</v>
      </c>
      <c r="H122" s="1" t="s">
        <v>54</v>
      </c>
      <c r="I122" s="1" t="s">
        <v>56</v>
      </c>
      <c r="J122" s="1" t="s">
        <v>52</v>
      </c>
      <c r="K122" s="1" t="s">
        <v>126</v>
      </c>
      <c r="L122" s="1" t="s">
        <v>59</v>
      </c>
      <c r="M122" s="1" t="s">
        <v>61</v>
      </c>
    </row>
    <row r="123" ht="15.75" customHeight="1">
      <c r="A123" s="8" t="s">
        <v>834</v>
      </c>
      <c r="B123" s="1" t="s">
        <v>831</v>
      </c>
      <c r="C123" s="1">
        <v>4.9</v>
      </c>
      <c r="D123" s="13">
        <v>-1394.0</v>
      </c>
      <c r="E123" s="1" t="s">
        <v>837</v>
      </c>
      <c r="F123" s="1" t="s">
        <v>52</v>
      </c>
      <c r="G123" s="1" t="s">
        <v>52</v>
      </c>
      <c r="H123" s="1" t="s">
        <v>838</v>
      </c>
      <c r="I123" s="1" t="s">
        <v>54</v>
      </c>
      <c r="J123" s="1" t="s">
        <v>52</v>
      </c>
      <c r="K123" s="1" t="s">
        <v>839</v>
      </c>
      <c r="L123" s="1" t="s">
        <v>91</v>
      </c>
      <c r="M123" s="1" t="s">
        <v>2</v>
      </c>
      <c r="N123" s="8" t="s">
        <v>63</v>
      </c>
      <c r="O123" s="1" t="s">
        <v>895</v>
      </c>
      <c r="P123" s="1" t="s">
        <v>93</v>
      </c>
      <c r="Q123" s="8" t="s">
        <v>830</v>
      </c>
      <c r="R123" s="1" t="s">
        <v>59</v>
      </c>
      <c r="S123" s="1" t="s">
        <v>61</v>
      </c>
      <c r="T123" s="1" t="s">
        <v>220</v>
      </c>
      <c r="U123" s="1" t="s">
        <v>175</v>
      </c>
      <c r="V123" s="1" t="s">
        <v>896</v>
      </c>
    </row>
    <row r="124" ht="15.75" customHeight="1">
      <c r="A124" s="8" t="s">
        <v>609</v>
      </c>
      <c r="B124" s="1" t="s">
        <v>607</v>
      </c>
      <c r="C124" s="1">
        <v>4.8</v>
      </c>
      <c r="D124" s="1">
        <v>-257.0</v>
      </c>
      <c r="E124" s="1" t="s">
        <v>102</v>
      </c>
      <c r="F124" s="1" t="s">
        <v>52</v>
      </c>
      <c r="G124" s="1" t="s">
        <v>52</v>
      </c>
      <c r="H124" s="1" t="s">
        <v>610</v>
      </c>
      <c r="I124" s="1" t="s">
        <v>54</v>
      </c>
      <c r="J124" s="1" t="s">
        <v>52</v>
      </c>
      <c r="K124" s="1" t="s">
        <v>611</v>
      </c>
      <c r="L124" s="1" t="s">
        <v>91</v>
      </c>
      <c r="M124" s="1" t="s">
        <v>2</v>
      </c>
      <c r="N124" s="8" t="s">
        <v>63</v>
      </c>
      <c r="O124" s="1" t="s">
        <v>897</v>
      </c>
      <c r="P124" s="1" t="s">
        <v>401</v>
      </c>
      <c r="Q124" s="8" t="s">
        <v>605</v>
      </c>
      <c r="R124" s="1" t="s">
        <v>59</v>
      </c>
      <c r="S124" s="1" t="s">
        <v>61</v>
      </c>
      <c r="T124" s="1" t="s">
        <v>256</v>
      </c>
      <c r="U124" s="1" t="s">
        <v>175</v>
      </c>
      <c r="V124" s="1" t="s">
        <v>898</v>
      </c>
    </row>
    <row r="125" ht="15.75" customHeight="1">
      <c r="A125" s="8" t="s">
        <v>810</v>
      </c>
      <c r="B125" s="1" t="s">
        <v>808</v>
      </c>
      <c r="C125" s="1">
        <v>4.7</v>
      </c>
      <c r="D125" s="13">
        <v>-5380.0</v>
      </c>
      <c r="E125" s="1" t="s">
        <v>298</v>
      </c>
      <c r="F125" s="1" t="s">
        <v>52</v>
      </c>
      <c r="G125" s="1" t="s">
        <v>52</v>
      </c>
      <c r="H125" s="1" t="s">
        <v>808</v>
      </c>
      <c r="I125" s="1" t="s">
        <v>89</v>
      </c>
      <c r="J125" s="1" t="s">
        <v>52</v>
      </c>
      <c r="K125" s="1" t="s">
        <v>813</v>
      </c>
      <c r="L125" s="1" t="s">
        <v>91</v>
      </c>
      <c r="M125" s="1" t="s">
        <v>2</v>
      </c>
      <c r="N125" s="8" t="s">
        <v>63</v>
      </c>
      <c r="O125" s="1" t="s">
        <v>899</v>
      </c>
      <c r="P125" s="1" t="s">
        <v>93</v>
      </c>
      <c r="Q125" s="8" t="s">
        <v>807</v>
      </c>
      <c r="R125" s="1" t="s">
        <v>59</v>
      </c>
      <c r="S125" s="1" t="s">
        <v>61</v>
      </c>
    </row>
    <row r="126" ht="15.75" customHeight="1">
      <c r="A126" s="8" t="s">
        <v>890</v>
      </c>
      <c r="B126" s="1" t="s">
        <v>888</v>
      </c>
      <c r="C126" s="1">
        <v>4.5</v>
      </c>
      <c r="D126" s="1">
        <v>-206.0</v>
      </c>
      <c r="E126" s="1" t="s">
        <v>892</v>
      </c>
      <c r="F126" s="1" t="s">
        <v>52</v>
      </c>
      <c r="G126" s="1" t="s">
        <v>893</v>
      </c>
      <c r="H126" s="1" t="s">
        <v>52</v>
      </c>
      <c r="I126" s="1" t="s">
        <v>54</v>
      </c>
      <c r="K126" s="1" t="s">
        <v>894</v>
      </c>
      <c r="L126" s="1" t="s">
        <v>91</v>
      </c>
      <c r="M126" s="1" t="s">
        <v>2</v>
      </c>
      <c r="N126" s="8" t="s">
        <v>63</v>
      </c>
      <c r="O126" s="1" t="s">
        <v>900</v>
      </c>
      <c r="Q126" s="8" t="s">
        <v>887</v>
      </c>
      <c r="R126" s="1" t="s">
        <v>59</v>
      </c>
      <c r="S126" s="1" t="s">
        <v>61</v>
      </c>
      <c r="T126" s="1" t="s">
        <v>236</v>
      </c>
    </row>
    <row r="127" ht="15.75" customHeight="1">
      <c r="A127" s="8" t="s">
        <v>589</v>
      </c>
      <c r="B127" s="1" t="s">
        <v>588</v>
      </c>
      <c r="C127" s="1">
        <v>4.9</v>
      </c>
      <c r="D127" s="1">
        <v>-222.0</v>
      </c>
      <c r="E127" s="1" t="s">
        <v>51</v>
      </c>
      <c r="F127" s="1" t="s">
        <v>52</v>
      </c>
      <c r="G127" s="1" t="s">
        <v>52</v>
      </c>
      <c r="H127" s="1" t="s">
        <v>592</v>
      </c>
      <c r="I127" s="1" t="s">
        <v>89</v>
      </c>
      <c r="J127" s="1" t="s">
        <v>52</v>
      </c>
      <c r="K127" s="1" t="s">
        <v>90</v>
      </c>
      <c r="L127" s="1" t="s">
        <v>91</v>
      </c>
      <c r="M127" s="1" t="s">
        <v>2</v>
      </c>
      <c r="N127" s="8" t="s">
        <v>63</v>
      </c>
      <c r="O127" s="1" t="s">
        <v>901</v>
      </c>
      <c r="P127" s="1" t="s">
        <v>93</v>
      </c>
      <c r="Q127" s="8" t="s">
        <v>585</v>
      </c>
      <c r="R127" s="1" t="s">
        <v>59</v>
      </c>
      <c r="S127" s="1" t="s">
        <v>61</v>
      </c>
      <c r="U127" s="1" t="s">
        <v>175</v>
      </c>
      <c r="V127" s="1" t="s">
        <v>481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"/>
    <hyperlink r:id="rId2" ref="N4"/>
    <hyperlink r:id="rId3" ref="A5"/>
    <hyperlink r:id="rId4" ref="N5"/>
    <hyperlink r:id="rId5" ref="A6"/>
    <hyperlink r:id="rId6" ref="N6"/>
    <hyperlink r:id="rId7" ref="Q6"/>
    <hyperlink r:id="rId8" ref="A7"/>
    <hyperlink r:id="rId9" ref="N7"/>
    <hyperlink r:id="rId10" ref="A8"/>
    <hyperlink r:id="rId11" ref="N8"/>
    <hyperlink r:id="rId12" ref="Q8"/>
    <hyperlink r:id="rId13" ref="A9"/>
    <hyperlink r:id="rId14" ref="N9"/>
    <hyperlink r:id="rId15" ref="A10"/>
    <hyperlink r:id="rId16" ref="N10"/>
    <hyperlink r:id="rId17" ref="A11"/>
    <hyperlink r:id="rId18" ref="N11"/>
    <hyperlink r:id="rId19" ref="Q11"/>
    <hyperlink r:id="rId20" ref="A12"/>
    <hyperlink r:id="rId21" ref="N12"/>
    <hyperlink r:id="rId22" ref="A13"/>
    <hyperlink r:id="rId23" ref="N13"/>
    <hyperlink r:id="rId24" ref="Q13"/>
    <hyperlink r:id="rId25" ref="A14"/>
    <hyperlink r:id="rId26" ref="N14"/>
    <hyperlink r:id="rId27" ref="Q14"/>
    <hyperlink r:id="rId28" ref="A15"/>
    <hyperlink r:id="rId29" ref="N15"/>
    <hyperlink r:id="rId30" ref="A16"/>
    <hyperlink r:id="rId31" ref="N16"/>
    <hyperlink r:id="rId32" ref="Q16"/>
    <hyperlink r:id="rId33" ref="A17"/>
    <hyperlink r:id="rId34" ref="N17"/>
    <hyperlink r:id="rId35" ref="Q17"/>
    <hyperlink r:id="rId36" ref="A18"/>
    <hyperlink r:id="rId37" ref="N18"/>
    <hyperlink r:id="rId38" ref="A19"/>
    <hyperlink r:id="rId39" ref="N19"/>
    <hyperlink r:id="rId40" ref="Q19"/>
    <hyperlink r:id="rId41" ref="A20"/>
    <hyperlink r:id="rId42" ref="Q20"/>
    <hyperlink r:id="rId43" ref="A21"/>
    <hyperlink r:id="rId44" ref="N21"/>
    <hyperlink r:id="rId45" ref="A22"/>
    <hyperlink r:id="rId46" ref="N22"/>
    <hyperlink r:id="rId47" ref="Q22"/>
    <hyperlink r:id="rId48" ref="A23"/>
    <hyperlink r:id="rId49" ref="N23"/>
    <hyperlink r:id="rId50" ref="Q23"/>
    <hyperlink r:id="rId51" ref="A24"/>
    <hyperlink r:id="rId52" ref="N24"/>
    <hyperlink r:id="rId53" ref="Q24"/>
    <hyperlink r:id="rId54" ref="A25"/>
    <hyperlink r:id="rId55" ref="N25"/>
    <hyperlink r:id="rId56" ref="Q25"/>
    <hyperlink r:id="rId57" ref="A26"/>
    <hyperlink r:id="rId58" ref="N26"/>
    <hyperlink r:id="rId59" ref="Q26"/>
    <hyperlink r:id="rId60" ref="A27"/>
    <hyperlink r:id="rId61" ref="N27"/>
    <hyperlink r:id="rId62" ref="A28"/>
    <hyperlink r:id="rId63" ref="N28"/>
    <hyperlink r:id="rId64" ref="Q28"/>
    <hyperlink r:id="rId65" ref="A29"/>
    <hyperlink r:id="rId66" ref="A30"/>
    <hyperlink r:id="rId67" ref="N30"/>
    <hyperlink r:id="rId68" ref="Q30"/>
    <hyperlink r:id="rId69" ref="A31"/>
    <hyperlink r:id="rId70" ref="N31"/>
    <hyperlink r:id="rId71" ref="Q31"/>
    <hyperlink r:id="rId72" ref="A32"/>
    <hyperlink r:id="rId73" ref="N32"/>
    <hyperlink r:id="rId74" ref="Q32"/>
    <hyperlink r:id="rId75" ref="A33"/>
    <hyperlink r:id="rId76" ref="N33"/>
    <hyperlink r:id="rId77" ref="Q33"/>
    <hyperlink r:id="rId78" ref="A34"/>
    <hyperlink r:id="rId79" ref="A35"/>
    <hyperlink r:id="rId80" ref="A36"/>
    <hyperlink r:id="rId81" ref="N36"/>
    <hyperlink r:id="rId82" ref="A37"/>
    <hyperlink r:id="rId83" ref="N37"/>
    <hyperlink r:id="rId84" ref="A38"/>
    <hyperlink r:id="rId85" ref="N38"/>
    <hyperlink r:id="rId86" ref="Q38"/>
    <hyperlink r:id="rId87" ref="A39"/>
    <hyperlink r:id="rId88" ref="N39"/>
    <hyperlink r:id="rId89" ref="A40"/>
    <hyperlink r:id="rId90" ref="N40"/>
    <hyperlink r:id="rId91" ref="Q40"/>
    <hyperlink r:id="rId92" ref="A41"/>
    <hyperlink r:id="rId93" ref="N41"/>
    <hyperlink r:id="rId94" ref="Q41"/>
    <hyperlink r:id="rId95" ref="A42"/>
    <hyperlink r:id="rId96" ref="A43"/>
    <hyperlink r:id="rId97" ref="N43"/>
    <hyperlink r:id="rId98" ref="Q43"/>
    <hyperlink r:id="rId99" ref="A44"/>
    <hyperlink r:id="rId100" ref="Q44"/>
    <hyperlink r:id="rId101" ref="A45"/>
    <hyperlink r:id="rId102" ref="Q45"/>
    <hyperlink r:id="rId103" ref="A46"/>
    <hyperlink r:id="rId104" ref="N46"/>
    <hyperlink r:id="rId105" ref="A47"/>
    <hyperlink r:id="rId106" ref="N47"/>
    <hyperlink r:id="rId107" ref="Q47"/>
    <hyperlink r:id="rId108" ref="A48"/>
    <hyperlink r:id="rId109" ref="N48"/>
    <hyperlink r:id="rId110" ref="A49"/>
    <hyperlink r:id="rId111" ref="N49"/>
    <hyperlink r:id="rId112" ref="Q49"/>
    <hyperlink r:id="rId113" ref="A50"/>
    <hyperlink r:id="rId114" ref="N50"/>
    <hyperlink r:id="rId115" ref="Q50"/>
    <hyperlink r:id="rId116" ref="A51"/>
    <hyperlink r:id="rId117" ref="N51"/>
    <hyperlink r:id="rId118" ref="Q51"/>
    <hyperlink r:id="rId119" ref="A52"/>
    <hyperlink r:id="rId120" ref="N52"/>
    <hyperlink r:id="rId121" ref="Q52"/>
    <hyperlink r:id="rId122" ref="A53"/>
    <hyperlink r:id="rId123" ref="N53"/>
    <hyperlink r:id="rId124" ref="Q53"/>
    <hyperlink r:id="rId125" ref="A54"/>
    <hyperlink r:id="rId126" ref="N54"/>
    <hyperlink r:id="rId127" ref="A55"/>
    <hyperlink r:id="rId128" ref="N55"/>
    <hyperlink r:id="rId129" ref="Q55"/>
    <hyperlink r:id="rId130" ref="A56"/>
    <hyperlink r:id="rId131" ref="N56"/>
    <hyperlink r:id="rId132" ref="Q56"/>
    <hyperlink r:id="rId133" ref="A57"/>
    <hyperlink r:id="rId134" ref="N57"/>
    <hyperlink r:id="rId135" ref="A58"/>
    <hyperlink r:id="rId136" ref="N58"/>
    <hyperlink r:id="rId137" ref="Q58"/>
    <hyperlink r:id="rId138" ref="A59"/>
    <hyperlink r:id="rId139" ref="N59"/>
    <hyperlink r:id="rId140" ref="Q59"/>
    <hyperlink r:id="rId141" ref="A60"/>
    <hyperlink r:id="rId142" ref="N60"/>
    <hyperlink r:id="rId143" ref="Q60"/>
    <hyperlink r:id="rId144" ref="A61"/>
    <hyperlink r:id="rId145" ref="N61"/>
    <hyperlink r:id="rId146" ref="A62"/>
    <hyperlink r:id="rId147" ref="N62"/>
    <hyperlink r:id="rId148" ref="Q62"/>
    <hyperlink r:id="rId149" ref="A63"/>
    <hyperlink r:id="rId150" ref="N63"/>
    <hyperlink r:id="rId151" ref="A64"/>
    <hyperlink r:id="rId152" ref="N64"/>
    <hyperlink r:id="rId153" ref="Q64"/>
    <hyperlink r:id="rId154" ref="A65"/>
    <hyperlink r:id="rId155" ref="N65"/>
    <hyperlink r:id="rId156" ref="A66"/>
    <hyperlink r:id="rId157" ref="Q66"/>
    <hyperlink r:id="rId158" ref="A67"/>
    <hyperlink r:id="rId159" ref="Q67"/>
    <hyperlink r:id="rId160" ref="A68"/>
    <hyperlink r:id="rId161" ref="A69"/>
    <hyperlink r:id="rId162" ref="Q69"/>
    <hyperlink r:id="rId163" ref="A70"/>
    <hyperlink r:id="rId164" ref="Q70"/>
    <hyperlink r:id="rId165" ref="A71"/>
    <hyperlink r:id="rId166" ref="Q71"/>
    <hyperlink r:id="rId167" ref="A72"/>
    <hyperlink r:id="rId168" ref="A73"/>
    <hyperlink r:id="rId169" ref="Q73"/>
    <hyperlink r:id="rId170" ref="A74"/>
    <hyperlink r:id="rId171" ref="Q74"/>
    <hyperlink r:id="rId172" ref="A75"/>
    <hyperlink r:id="rId173" ref="Q75"/>
    <hyperlink r:id="rId174" ref="A76"/>
    <hyperlink r:id="rId175" ref="Q76"/>
    <hyperlink r:id="rId176" ref="A77"/>
    <hyperlink r:id="rId177" ref="Q77"/>
    <hyperlink r:id="rId178" ref="A78"/>
    <hyperlink r:id="rId179" ref="A79"/>
    <hyperlink r:id="rId180" ref="A80"/>
    <hyperlink r:id="rId181" ref="Q80"/>
    <hyperlink r:id="rId182" ref="A81"/>
    <hyperlink r:id="rId183" ref="Q81"/>
    <hyperlink r:id="rId184" ref="A82"/>
    <hyperlink r:id="rId185" ref="Q82"/>
    <hyperlink r:id="rId186" ref="A83"/>
    <hyperlink r:id="rId187" ref="Q83"/>
    <hyperlink r:id="rId188" ref="A84"/>
    <hyperlink r:id="rId189" ref="A85"/>
    <hyperlink r:id="rId190" ref="Q85"/>
    <hyperlink r:id="rId191" ref="A86"/>
    <hyperlink r:id="rId192" ref="Q86"/>
    <hyperlink r:id="rId193" ref="A87"/>
    <hyperlink r:id="rId194" ref="Q87"/>
    <hyperlink r:id="rId195" ref="A88"/>
    <hyperlink r:id="rId196" ref="N88"/>
    <hyperlink r:id="rId197" ref="Q88"/>
    <hyperlink r:id="rId198" ref="A89"/>
    <hyperlink r:id="rId199" ref="N89"/>
    <hyperlink r:id="rId200" ref="Q89"/>
    <hyperlink r:id="rId201" ref="A90"/>
    <hyperlink r:id="rId202" ref="N90"/>
    <hyperlink r:id="rId203" ref="A91"/>
    <hyperlink r:id="rId204" ref="N91"/>
    <hyperlink r:id="rId205" ref="A92"/>
    <hyperlink r:id="rId206" ref="N92"/>
    <hyperlink r:id="rId207" ref="Q92"/>
    <hyperlink r:id="rId208" ref="A93"/>
    <hyperlink r:id="rId209" ref="N93"/>
    <hyperlink r:id="rId210" ref="A94"/>
    <hyperlink r:id="rId211" ref="N94"/>
    <hyperlink r:id="rId212" ref="Q94"/>
    <hyperlink r:id="rId213" ref="A95"/>
    <hyperlink r:id="rId214" ref="N95"/>
    <hyperlink r:id="rId215" ref="A96"/>
    <hyperlink r:id="rId216" ref="N96"/>
    <hyperlink r:id="rId217" ref="A97"/>
    <hyperlink r:id="rId218" ref="N97"/>
    <hyperlink r:id="rId219" ref="Q97"/>
    <hyperlink r:id="rId220" ref="A98"/>
    <hyperlink r:id="rId221" ref="N98"/>
    <hyperlink r:id="rId222" ref="Q98"/>
    <hyperlink r:id="rId223" ref="A99"/>
    <hyperlink r:id="rId224" ref="N99"/>
    <hyperlink r:id="rId225" ref="Q99"/>
    <hyperlink r:id="rId226" ref="A100"/>
    <hyperlink r:id="rId227" ref="N100"/>
    <hyperlink r:id="rId228" ref="A101"/>
    <hyperlink r:id="rId229" ref="N101"/>
    <hyperlink r:id="rId230" ref="Q101"/>
    <hyperlink r:id="rId231" ref="A102"/>
    <hyperlink r:id="rId232" ref="N102"/>
    <hyperlink r:id="rId233" ref="Q102"/>
    <hyperlink r:id="rId234" ref="A103"/>
    <hyperlink r:id="rId235" ref="N103"/>
    <hyperlink r:id="rId236" ref="Q103"/>
    <hyperlink r:id="rId237" ref="A104"/>
    <hyperlink r:id="rId238" ref="N104"/>
    <hyperlink r:id="rId239" ref="Q104"/>
    <hyperlink r:id="rId240" ref="A105"/>
    <hyperlink r:id="rId241" ref="N105"/>
    <hyperlink r:id="rId242" ref="A106"/>
    <hyperlink r:id="rId243" ref="A107"/>
    <hyperlink r:id="rId244" ref="N107"/>
    <hyperlink r:id="rId245" ref="Q107"/>
    <hyperlink r:id="rId246" ref="A108"/>
    <hyperlink r:id="rId247" ref="N108"/>
    <hyperlink r:id="rId248" ref="Q108"/>
    <hyperlink r:id="rId249" ref="A109"/>
    <hyperlink r:id="rId250" ref="N109"/>
    <hyperlink r:id="rId251" ref="Q109"/>
    <hyperlink r:id="rId252" ref="A110"/>
    <hyperlink r:id="rId253" ref="N110"/>
    <hyperlink r:id="rId254" ref="Q110"/>
    <hyperlink r:id="rId255" ref="A111"/>
    <hyperlink r:id="rId256" ref="N111"/>
    <hyperlink r:id="rId257" ref="A112"/>
    <hyperlink r:id="rId258" ref="N112"/>
    <hyperlink r:id="rId259" ref="Q112"/>
    <hyperlink r:id="rId260" ref="A113"/>
    <hyperlink r:id="rId261" ref="A114"/>
    <hyperlink r:id="rId262" ref="N114"/>
    <hyperlink r:id="rId263" ref="Q114"/>
    <hyperlink r:id="rId264" ref="A115"/>
    <hyperlink r:id="rId265" ref="N115"/>
    <hyperlink r:id="rId266" ref="Q115"/>
    <hyperlink r:id="rId267" ref="A116"/>
    <hyperlink r:id="rId268" ref="N116"/>
    <hyperlink r:id="rId269" ref="A117"/>
    <hyperlink r:id="rId270" ref="N117"/>
    <hyperlink r:id="rId271" ref="Q117"/>
    <hyperlink r:id="rId272" ref="A118"/>
    <hyperlink r:id="rId273" ref="Q118"/>
    <hyperlink r:id="rId274" ref="A119"/>
    <hyperlink r:id="rId275" ref="N119"/>
    <hyperlink r:id="rId276" ref="Q119"/>
    <hyperlink r:id="rId277" ref="A120"/>
    <hyperlink r:id="rId278" ref="A121"/>
    <hyperlink r:id="rId279" ref="N121"/>
    <hyperlink r:id="rId280" ref="Q121"/>
    <hyperlink r:id="rId281" ref="A122"/>
    <hyperlink r:id="rId282" ref="A123"/>
    <hyperlink r:id="rId283" ref="N123"/>
    <hyperlink r:id="rId284" ref="Q123"/>
    <hyperlink r:id="rId285" ref="A124"/>
    <hyperlink r:id="rId286" ref="N124"/>
    <hyperlink r:id="rId287" ref="Q124"/>
    <hyperlink r:id="rId288" ref="A125"/>
    <hyperlink r:id="rId289" ref="N125"/>
    <hyperlink r:id="rId290" ref="Q125"/>
    <hyperlink r:id="rId291" ref="A126"/>
    <hyperlink r:id="rId292" ref="N126"/>
    <hyperlink r:id="rId293" ref="Q126"/>
    <hyperlink r:id="rId294" ref="A127"/>
    <hyperlink r:id="rId295" ref="N127"/>
    <hyperlink r:id="rId296" ref="Q127"/>
  </hyperlinks>
  <drawing r:id="rId29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9.88"/>
    <col customWidth="1" min="2" max="2" width="98.63"/>
    <col customWidth="1" min="3" max="3" width="35.38"/>
    <col customWidth="1" min="4" max="4" width="510.0"/>
    <col customWidth="1" min="5" max="6" width="12.63"/>
    <col customWidth="1" min="8" max="8" width="106.0"/>
    <col customWidth="1" min="10" max="10" width="59.38"/>
    <col customWidth="1" min="12" max="12" width="59.75"/>
  </cols>
  <sheetData>
    <row r="1" ht="15.75" customHeight="1">
      <c r="A1" s="2" t="s">
        <v>2</v>
      </c>
      <c r="B1" s="2" t="s">
        <v>8</v>
      </c>
      <c r="C1" s="2" t="s">
        <v>11</v>
      </c>
      <c r="D1" s="2" t="s">
        <v>13</v>
      </c>
      <c r="E1" s="2" t="s">
        <v>15</v>
      </c>
      <c r="F1" s="2" t="s">
        <v>17</v>
      </c>
      <c r="G1" s="2" t="s">
        <v>19</v>
      </c>
      <c r="H1" s="2" t="s">
        <v>21</v>
      </c>
      <c r="I1" s="2" t="s">
        <v>23</v>
      </c>
      <c r="J1" s="2" t="s">
        <v>25</v>
      </c>
      <c r="K1" s="2" t="s">
        <v>27</v>
      </c>
      <c r="L1" s="2" t="s">
        <v>29</v>
      </c>
    </row>
    <row r="2" ht="15.75" customHeight="1">
      <c r="A2" s="7" t="s">
        <v>32</v>
      </c>
      <c r="B2" s="1" t="s">
        <v>40</v>
      </c>
      <c r="C2" s="1" t="s">
        <v>42</v>
      </c>
      <c r="D2" s="8" t="s">
        <v>43</v>
      </c>
      <c r="E2" s="1">
        <v>5.0</v>
      </c>
      <c r="F2" s="1">
        <v>-152.0</v>
      </c>
      <c r="G2" s="1" t="s">
        <v>51</v>
      </c>
      <c r="H2" s="1" t="s">
        <v>62</v>
      </c>
      <c r="L2" s="1" t="str">
        <f t="shared" ref="L2:L127" si="1">J2 &amp; " " &amp; K2</f>
        <v> </v>
      </c>
    </row>
    <row r="3" ht="15.75" customHeight="1">
      <c r="A3" s="7" t="s">
        <v>69</v>
      </c>
      <c r="B3" s="1" t="s">
        <v>73</v>
      </c>
      <c r="C3" s="8" t="s">
        <v>75</v>
      </c>
      <c r="D3" s="8" t="s">
        <v>81</v>
      </c>
      <c r="E3" s="1">
        <v>4.7</v>
      </c>
      <c r="F3" s="1">
        <v>-599.0</v>
      </c>
      <c r="G3" s="1" t="s">
        <v>83</v>
      </c>
      <c r="H3" s="1" t="s">
        <v>84</v>
      </c>
      <c r="I3" s="1" t="s">
        <v>85</v>
      </c>
      <c r="L3" s="1" t="str">
        <f t="shared" si="1"/>
        <v> </v>
      </c>
    </row>
    <row r="4" ht="15.75" customHeight="1">
      <c r="A4" s="7" t="s">
        <v>87</v>
      </c>
      <c r="B4" s="1" t="s">
        <v>95</v>
      </c>
      <c r="C4" s="8" t="s">
        <v>96</v>
      </c>
      <c r="D4" s="8" t="s">
        <v>99</v>
      </c>
      <c r="E4" s="1">
        <v>5.0</v>
      </c>
      <c r="F4" s="1">
        <v>-263.0</v>
      </c>
      <c r="G4" s="1" t="s">
        <v>102</v>
      </c>
      <c r="H4" s="1" t="s">
        <v>104</v>
      </c>
      <c r="L4" s="1" t="str">
        <f t="shared" si="1"/>
        <v> </v>
      </c>
    </row>
    <row r="5" ht="15.75" customHeight="1">
      <c r="A5" s="2" t="s">
        <v>42</v>
      </c>
      <c r="B5" s="1" t="s">
        <v>107</v>
      </c>
      <c r="C5" s="1" t="s">
        <v>42</v>
      </c>
      <c r="D5" s="8" t="s">
        <v>109</v>
      </c>
      <c r="E5" s="1">
        <v>5.0</v>
      </c>
      <c r="F5" s="1">
        <v>-5.0</v>
      </c>
      <c r="G5" s="1" t="s">
        <v>51</v>
      </c>
      <c r="H5" s="1" t="s">
        <v>111</v>
      </c>
      <c r="J5" s="1" t="s">
        <v>112</v>
      </c>
      <c r="K5" s="1" t="s">
        <v>114</v>
      </c>
      <c r="L5" s="1" t="str">
        <f t="shared" si="1"/>
        <v>"The plan was thorough and the results are visible."</v>
      </c>
    </row>
    <row r="6" ht="15.75" customHeight="1">
      <c r="A6" s="2" t="s">
        <v>42</v>
      </c>
      <c r="B6" s="1" t="s">
        <v>116</v>
      </c>
      <c r="C6" s="1" t="s">
        <v>42</v>
      </c>
      <c r="D6" s="8" t="s">
        <v>117</v>
      </c>
      <c r="G6" s="1" t="s">
        <v>51</v>
      </c>
      <c r="H6" s="1" t="s">
        <v>124</v>
      </c>
      <c r="I6" s="1" t="s">
        <v>126</v>
      </c>
      <c r="J6" s="1" t="s">
        <v>112</v>
      </c>
      <c r="K6" s="1" t="s">
        <v>128</v>
      </c>
      <c r="L6" s="1" t="str">
        <f t="shared" si="1"/>
        <v>"The is clean, well-organized, and staff is friendly too."</v>
      </c>
    </row>
    <row r="7" ht="15.75" customHeight="1">
      <c r="A7" s="7" t="s">
        <v>94</v>
      </c>
      <c r="B7" s="1" t="s">
        <v>132</v>
      </c>
      <c r="C7" s="8" t="s">
        <v>134</v>
      </c>
      <c r="D7" s="8" t="s">
        <v>80</v>
      </c>
      <c r="E7" s="1">
        <v>4.7</v>
      </c>
      <c r="F7" s="13">
        <v>-28262.0</v>
      </c>
      <c r="G7" s="1" t="s">
        <v>86</v>
      </c>
      <c r="H7" s="1" t="s">
        <v>88</v>
      </c>
      <c r="I7" s="1" t="s">
        <v>90</v>
      </c>
      <c r="J7" s="1" t="s">
        <v>67</v>
      </c>
      <c r="L7" s="1" t="str">
        <f t="shared" si="1"/>
        <v>"A rare combination of expertise, compassion, and genuine care." </v>
      </c>
    </row>
    <row r="8" ht="15.75" customHeight="1">
      <c r="A8" s="7" t="s">
        <v>141</v>
      </c>
      <c r="B8" s="1" t="s">
        <v>142</v>
      </c>
      <c r="C8" s="8" t="s">
        <v>134</v>
      </c>
      <c r="D8" s="8" t="s">
        <v>144</v>
      </c>
      <c r="E8" s="1">
        <v>1.0</v>
      </c>
      <c r="F8" s="1">
        <v>-1.0</v>
      </c>
      <c r="G8" s="1" t="s">
        <v>152</v>
      </c>
      <c r="H8" s="1" t="s">
        <v>153</v>
      </c>
      <c r="I8" s="1" t="s">
        <v>154</v>
      </c>
      <c r="J8" s="1" t="s">
        <v>155</v>
      </c>
      <c r="L8" s="1" t="str">
        <f t="shared" si="1"/>
        <v>"The Receptionist is also very professional and Cooperative." </v>
      </c>
    </row>
    <row r="9" ht="15.75" customHeight="1">
      <c r="A9" s="2" t="s">
        <v>42</v>
      </c>
      <c r="B9" s="1" t="s">
        <v>156</v>
      </c>
      <c r="C9" s="1" t="s">
        <v>42</v>
      </c>
      <c r="D9" s="8" t="s">
        <v>157</v>
      </c>
      <c r="E9" s="1">
        <v>4.5</v>
      </c>
      <c r="F9" s="1">
        <v>-10.0</v>
      </c>
      <c r="G9" s="1" t="s">
        <v>74</v>
      </c>
      <c r="H9" s="1" t="s">
        <v>164</v>
      </c>
      <c r="I9" s="1" t="s">
        <v>165</v>
      </c>
      <c r="J9" s="1" t="s">
        <v>167</v>
      </c>
      <c r="L9" s="1" t="str">
        <f t="shared" si="1"/>
        <v>"Great work by dr" </v>
      </c>
    </row>
    <row r="10" ht="15.75" customHeight="1">
      <c r="A10" s="7" t="s">
        <v>168</v>
      </c>
      <c r="B10" s="1" t="s">
        <v>174</v>
      </c>
      <c r="C10" s="8" t="s">
        <v>176</v>
      </c>
      <c r="D10" s="8" t="s">
        <v>179</v>
      </c>
      <c r="E10" s="1">
        <v>4.9</v>
      </c>
      <c r="F10" s="1">
        <v>-580.0</v>
      </c>
      <c r="G10" s="1" t="s">
        <v>184</v>
      </c>
      <c r="H10" s="1" t="s">
        <v>185</v>
      </c>
      <c r="I10" s="1" t="s">
        <v>187</v>
      </c>
      <c r="J10" s="1" t="s">
        <v>188</v>
      </c>
      <c r="L10" s="1" t="str">
        <f t="shared" si="1"/>
        <v>"Helped me with my neck pain  and I got instant relief after visiting her." </v>
      </c>
    </row>
    <row r="11" ht="15.75" customHeight="1">
      <c r="A11" s="7" t="s">
        <v>189</v>
      </c>
      <c r="B11" s="1" t="s">
        <v>174</v>
      </c>
      <c r="C11" s="8" t="s">
        <v>176</v>
      </c>
      <c r="D11" s="8" t="s">
        <v>179</v>
      </c>
      <c r="E11" s="1">
        <v>4.9</v>
      </c>
      <c r="F11" s="1">
        <v>-580.0</v>
      </c>
      <c r="G11" s="1" t="s">
        <v>184</v>
      </c>
      <c r="H11" s="1" t="s">
        <v>185</v>
      </c>
      <c r="I11" s="1" t="s">
        <v>187</v>
      </c>
      <c r="J11" s="1" t="s">
        <v>195</v>
      </c>
      <c r="K11" s="1" t="s">
        <v>197</v>
      </c>
      <c r="L11" s="1" t="str">
        <f t="shared" si="1"/>
        <v>"The staff and are extremely nice, professional, and caring."</v>
      </c>
    </row>
    <row r="12" ht="15.75" customHeight="1">
      <c r="A12" s="7" t="s">
        <v>199</v>
      </c>
      <c r="B12" s="1" t="s">
        <v>202</v>
      </c>
      <c r="C12" s="8" t="s">
        <v>203</v>
      </c>
      <c r="D12" s="8" t="s">
        <v>207</v>
      </c>
      <c r="E12" s="1">
        <v>4.9</v>
      </c>
      <c r="F12" s="13">
        <v>-2924.0</v>
      </c>
      <c r="G12" s="1" t="s">
        <v>86</v>
      </c>
      <c r="H12" s="1" t="s">
        <v>210</v>
      </c>
      <c r="I12" s="1" t="s">
        <v>211</v>
      </c>
      <c r="L12" s="1" t="str">
        <f t="shared" si="1"/>
        <v> </v>
      </c>
    </row>
    <row r="13" ht="15.75" customHeight="1">
      <c r="A13" s="7" t="s">
        <v>213</v>
      </c>
      <c r="B13" s="1" t="s">
        <v>216</v>
      </c>
      <c r="C13" s="1" t="s">
        <v>42</v>
      </c>
      <c r="D13" s="8" t="s">
        <v>218</v>
      </c>
      <c r="E13" s="1">
        <v>4.9</v>
      </c>
      <c r="F13" s="1">
        <v>-100.0</v>
      </c>
      <c r="G13" s="1" t="s">
        <v>222</v>
      </c>
      <c r="H13" s="1" t="s">
        <v>223</v>
      </c>
      <c r="I13" s="1" t="s">
        <v>224</v>
      </c>
      <c r="J13" s="1" t="s">
        <v>225</v>
      </c>
      <c r="K13" s="1" t="s">
        <v>226</v>
      </c>
      <c r="L13" s="1" t="str">
        <f t="shared" si="1"/>
        <v>"Both the are very polite and knowledgeable."</v>
      </c>
    </row>
    <row r="14" ht="15.75" customHeight="1">
      <c r="A14" s="2" t="s">
        <v>42</v>
      </c>
      <c r="B14" s="1" t="s">
        <v>227</v>
      </c>
      <c r="C14" s="1" t="s">
        <v>42</v>
      </c>
      <c r="D14" s="8" t="s">
        <v>228</v>
      </c>
      <c r="E14" s="1">
        <v>1.0</v>
      </c>
      <c r="F14" s="1">
        <v>-1.0</v>
      </c>
      <c r="G14" s="1" t="s">
        <v>51</v>
      </c>
      <c r="H14" s="1" t="s">
        <v>233</v>
      </c>
      <c r="I14" s="1" t="s">
        <v>234</v>
      </c>
      <c r="J14" s="1" t="s">
        <v>235</v>
      </c>
      <c r="L14" s="1" t="str">
        <f t="shared" si="1"/>
        <v>"His in depth knowledge has helped me a lot." </v>
      </c>
    </row>
    <row r="15" ht="15.75" customHeight="1">
      <c r="A15" s="7" t="s">
        <v>232</v>
      </c>
      <c r="B15" s="1" t="s">
        <v>229</v>
      </c>
      <c r="C15" s="8" t="s">
        <v>240</v>
      </c>
      <c r="D15" s="8" t="s">
        <v>221</v>
      </c>
      <c r="E15" s="1">
        <v>4.9</v>
      </c>
      <c r="F15" s="1">
        <v>-274.0</v>
      </c>
      <c r="G15" s="1" t="s">
        <v>115</v>
      </c>
      <c r="H15" s="1" t="s">
        <v>230</v>
      </c>
      <c r="I15" s="1" t="s">
        <v>231</v>
      </c>
      <c r="J15" s="1" t="s">
        <v>208</v>
      </c>
      <c r="L15" s="1" t="str">
        <f t="shared" si="1"/>
        <v>"The treatments have made a noticeable difference in my skin and hair health." </v>
      </c>
    </row>
    <row r="16" ht="15.75" customHeight="1">
      <c r="A16" s="7" t="s">
        <v>248</v>
      </c>
      <c r="B16" s="1" t="s">
        <v>250</v>
      </c>
      <c r="C16" s="8" t="s">
        <v>251</v>
      </c>
      <c r="D16" s="8" t="s">
        <v>254</v>
      </c>
      <c r="G16" s="1" t="s">
        <v>192</v>
      </c>
      <c r="H16" s="1" t="s">
        <v>257</v>
      </c>
      <c r="J16" s="1" t="s">
        <v>245</v>
      </c>
      <c r="L16" s="1" t="str">
        <f t="shared" si="1"/>
        <v>"⭐⭐⭐⭐⭐
Dr. FM Chogle is very friendly and highly experienced." </v>
      </c>
    </row>
    <row r="17" ht="15.75" customHeight="1">
      <c r="A17" s="7" t="s">
        <v>259</v>
      </c>
      <c r="B17" s="1" t="s">
        <v>260</v>
      </c>
      <c r="C17" s="1" t="s">
        <v>42</v>
      </c>
      <c r="D17" s="8" t="s">
        <v>261</v>
      </c>
      <c r="E17" s="1">
        <v>4.9</v>
      </c>
      <c r="F17" s="1">
        <v>-16.0</v>
      </c>
      <c r="G17" s="1" t="s">
        <v>192</v>
      </c>
      <c r="H17" s="1" t="s">
        <v>262</v>
      </c>
      <c r="I17" s="1" t="s">
        <v>263</v>
      </c>
      <c r="J17" s="1" t="s">
        <v>266</v>
      </c>
      <c r="K17" s="1" t="s">
        <v>267</v>
      </c>
      <c r="L17" s="1" t="str">
        <f t="shared" si="1"/>
        <v>"The staff is friendly and the is clean and well-equipped"</v>
      </c>
    </row>
    <row r="18" ht="15.75" customHeight="1">
      <c r="A18" s="7" t="s">
        <v>268</v>
      </c>
      <c r="B18" s="1" t="s">
        <v>271</v>
      </c>
      <c r="C18" s="8" t="s">
        <v>272</v>
      </c>
      <c r="D18" s="8" t="s">
        <v>276</v>
      </c>
      <c r="E18" s="1">
        <v>4.9</v>
      </c>
      <c r="F18" s="13">
        <v>-1690.0</v>
      </c>
      <c r="G18" s="1" t="s">
        <v>279</v>
      </c>
      <c r="H18" s="1" t="s">
        <v>280</v>
      </c>
      <c r="I18" s="1" t="s">
        <v>281</v>
      </c>
      <c r="J18" s="1" t="s">
        <v>112</v>
      </c>
      <c r="K18" s="1" t="s">
        <v>283</v>
      </c>
      <c r="L18" s="1" t="str">
        <f t="shared" si="1"/>
        <v>"The and staff communicate well with patients."</v>
      </c>
    </row>
    <row r="19" ht="15.75" customHeight="1">
      <c r="A19" s="7" t="s">
        <v>285</v>
      </c>
      <c r="B19" s="1" t="s">
        <v>290</v>
      </c>
      <c r="C19" s="8" t="s">
        <v>291</v>
      </c>
      <c r="D19" s="8" t="s">
        <v>292</v>
      </c>
      <c r="E19" s="1">
        <v>4.7</v>
      </c>
      <c r="F19" s="13">
        <v>-3862.0</v>
      </c>
      <c r="G19" s="1" t="s">
        <v>298</v>
      </c>
      <c r="H19" s="1" t="s">
        <v>52</v>
      </c>
      <c r="I19" s="1" t="s">
        <v>299</v>
      </c>
      <c r="J19" s="1" t="s">
        <v>300</v>
      </c>
      <c r="L19" s="1" t="str">
        <f t="shared" si="1"/>
        <v>"Procedure was thoroughly explained and post operative care was meticulous." </v>
      </c>
    </row>
    <row r="20" ht="15.75" customHeight="1">
      <c r="A20" s="7" t="s">
        <v>301</v>
      </c>
      <c r="B20" s="1" t="s">
        <v>305</v>
      </c>
      <c r="C20" s="8" t="s">
        <v>306</v>
      </c>
      <c r="D20" s="8" t="s">
        <v>309</v>
      </c>
      <c r="E20" s="1">
        <v>4.9</v>
      </c>
      <c r="F20" s="1">
        <v>-99.0</v>
      </c>
      <c r="G20" s="1" t="s">
        <v>102</v>
      </c>
      <c r="H20" s="1" t="s">
        <v>314</v>
      </c>
      <c r="I20" s="1" t="s">
        <v>315</v>
      </c>
      <c r="J20" s="1" t="s">
        <v>316</v>
      </c>
      <c r="L20" s="1" t="str">
        <f t="shared" si="1"/>
        <v>"Best service Dr Sunayna is very nice and courteous." </v>
      </c>
    </row>
    <row r="21" ht="15.75" customHeight="1">
      <c r="A21" s="7" t="s">
        <v>317</v>
      </c>
      <c r="B21" s="1" t="s">
        <v>319</v>
      </c>
      <c r="C21" s="8" t="s">
        <v>320</v>
      </c>
      <c r="D21" s="8" t="s">
        <v>324</v>
      </c>
      <c r="E21" s="1">
        <v>4.3</v>
      </c>
      <c r="F21" s="1">
        <v>-175.0</v>
      </c>
      <c r="G21" s="1" t="s">
        <v>330</v>
      </c>
      <c r="H21" s="1" t="s">
        <v>332</v>
      </c>
      <c r="J21" s="1" t="s">
        <v>333</v>
      </c>
      <c r="L21" s="1" t="str">
        <f t="shared" si="1"/>
        <v>On-site services not available </v>
      </c>
    </row>
    <row r="22" ht="15.75" customHeight="1">
      <c r="A22" s="7" t="s">
        <v>334</v>
      </c>
      <c r="B22" s="1" t="s">
        <v>335</v>
      </c>
      <c r="C22" s="8" t="s">
        <v>336</v>
      </c>
      <c r="D22" s="8" t="s">
        <v>339</v>
      </c>
      <c r="E22" s="1">
        <v>4.1</v>
      </c>
      <c r="F22" s="13">
        <v>-3440.0</v>
      </c>
      <c r="G22" s="1" t="s">
        <v>86</v>
      </c>
      <c r="H22" s="1" t="s">
        <v>343</v>
      </c>
      <c r="I22" s="1" t="s">
        <v>344</v>
      </c>
      <c r="J22" s="1" t="s">
        <v>333</v>
      </c>
      <c r="L22" s="1" t="str">
        <f t="shared" si="1"/>
        <v>On-site services not available </v>
      </c>
    </row>
    <row r="23" ht="15.75" customHeight="1">
      <c r="A23" s="7" t="s">
        <v>345</v>
      </c>
      <c r="B23" s="1" t="s">
        <v>349</v>
      </c>
      <c r="C23" s="1" t="s">
        <v>42</v>
      </c>
      <c r="D23" s="8" t="s">
        <v>350</v>
      </c>
      <c r="E23" s="1">
        <v>4.9</v>
      </c>
      <c r="F23" s="1">
        <v>-147.0</v>
      </c>
      <c r="G23" s="1" t="s">
        <v>102</v>
      </c>
      <c r="H23" s="1" t="s">
        <v>355</v>
      </c>
      <c r="I23" s="1" t="s">
        <v>356</v>
      </c>
      <c r="J23" s="1" t="s">
        <v>357</v>
      </c>
      <c r="K23" s="1" t="s">
        <v>359</v>
      </c>
      <c r="L23" s="1" t="str">
        <f t="shared" si="1"/>
        <v>"Staff is supportive, rooms are clean, and was affordable."</v>
      </c>
    </row>
    <row r="24" ht="15.75" customHeight="1">
      <c r="A24" s="2" t="s">
        <v>42</v>
      </c>
      <c r="B24" s="1" t="s">
        <v>362</v>
      </c>
      <c r="C24" s="1" t="s">
        <v>42</v>
      </c>
      <c r="D24" s="8" t="s">
        <v>363</v>
      </c>
      <c r="E24" s="1">
        <v>4.2</v>
      </c>
      <c r="F24" s="1">
        <v>-75.0</v>
      </c>
      <c r="G24" s="1" t="s">
        <v>74</v>
      </c>
      <c r="H24" s="1" t="s">
        <v>367</v>
      </c>
      <c r="I24" s="1" t="s">
        <v>368</v>
      </c>
      <c r="J24" s="1" t="s">
        <v>370</v>
      </c>
      <c r="L24" s="1" t="str">
        <f t="shared" si="1"/>
        <v>"Dr fees Also reasonable." </v>
      </c>
    </row>
    <row r="25" ht="15.75" customHeight="1">
      <c r="A25" s="7" t="s">
        <v>373</v>
      </c>
      <c r="B25" s="1" t="s">
        <v>375</v>
      </c>
      <c r="C25" s="8" t="s">
        <v>376</v>
      </c>
      <c r="D25" s="8" t="s">
        <v>380</v>
      </c>
      <c r="E25" s="1">
        <v>5.0</v>
      </c>
      <c r="F25" s="1">
        <v>-59.0</v>
      </c>
      <c r="G25" s="1" t="s">
        <v>384</v>
      </c>
      <c r="H25" s="1" t="s">
        <v>386</v>
      </c>
      <c r="I25" s="1" t="s">
        <v>387</v>
      </c>
      <c r="J25" s="1" t="s">
        <v>333</v>
      </c>
      <c r="L25" s="1" t="str">
        <f t="shared" si="1"/>
        <v>On-site services not available </v>
      </c>
    </row>
    <row r="26" ht="15.75" customHeight="1">
      <c r="A26" s="7" t="s">
        <v>313</v>
      </c>
      <c r="B26" s="1" t="s">
        <v>307</v>
      </c>
      <c r="C26" s="8" t="s">
        <v>389</v>
      </c>
      <c r="D26" s="8" t="s">
        <v>303</v>
      </c>
      <c r="E26" s="1">
        <v>4.6</v>
      </c>
      <c r="F26" s="13">
        <v>-1050.0</v>
      </c>
      <c r="G26" s="1" t="s">
        <v>308</v>
      </c>
      <c r="H26" s="1" t="s">
        <v>310</v>
      </c>
      <c r="I26" s="1" t="s">
        <v>311</v>
      </c>
      <c r="J26" s="1" t="s">
        <v>286</v>
      </c>
      <c r="K26" s="1" t="s">
        <v>288</v>
      </c>
      <c r="L26" s="1" t="str">
        <f t="shared" si="1"/>
        <v>"Staff is friendly and understanding, is performed accurately."</v>
      </c>
    </row>
    <row r="27" ht="15.75" customHeight="1">
      <c r="A27" s="2" t="s">
        <v>42</v>
      </c>
      <c r="B27" s="1" t="s">
        <v>395</v>
      </c>
      <c r="C27" s="1" t="s">
        <v>42</v>
      </c>
      <c r="D27" s="8" t="s">
        <v>396</v>
      </c>
      <c r="E27" s="1">
        <v>4.4</v>
      </c>
      <c r="F27" s="1">
        <v>-36.0</v>
      </c>
      <c r="G27" s="1" t="s">
        <v>403</v>
      </c>
      <c r="H27" s="1" t="s">
        <v>404</v>
      </c>
      <c r="I27" s="1" t="s">
        <v>405</v>
      </c>
      <c r="J27" s="1" t="s">
        <v>406</v>
      </c>
      <c r="K27" s="1" t="s">
        <v>407</v>
      </c>
      <c r="L27" s="1" t="str">
        <f t="shared" si="1"/>
        <v>"Diagnosis was on point and was very  effective"</v>
      </c>
    </row>
    <row r="28" ht="15.75" customHeight="1">
      <c r="A28" s="7" t="s">
        <v>408</v>
      </c>
      <c r="B28" s="1" t="s">
        <v>411</v>
      </c>
      <c r="C28" s="8" t="s">
        <v>412</v>
      </c>
      <c r="D28" s="8" t="s">
        <v>413</v>
      </c>
      <c r="E28" s="1">
        <v>4.7</v>
      </c>
      <c r="F28" s="1">
        <v>-41.0</v>
      </c>
      <c r="G28" s="1" t="s">
        <v>51</v>
      </c>
      <c r="H28" s="1" t="s">
        <v>418</v>
      </c>
      <c r="I28" s="1" t="s">
        <v>419</v>
      </c>
      <c r="L28" s="1" t="str">
        <f t="shared" si="1"/>
        <v> </v>
      </c>
    </row>
    <row r="29" ht="15.75" customHeight="1">
      <c r="A29" s="7" t="s">
        <v>420</v>
      </c>
      <c r="B29" s="1" t="s">
        <v>423</v>
      </c>
      <c r="C29" s="1" t="s">
        <v>42</v>
      </c>
      <c r="D29" s="8" t="s">
        <v>424</v>
      </c>
      <c r="E29" s="1">
        <v>3.8</v>
      </c>
      <c r="F29" s="1">
        <v>-82.0</v>
      </c>
      <c r="G29" s="1" t="s">
        <v>83</v>
      </c>
      <c r="H29" s="1" t="s">
        <v>428</v>
      </c>
      <c r="I29" s="1" t="s">
        <v>429</v>
      </c>
      <c r="J29" s="1" t="s">
        <v>112</v>
      </c>
      <c r="K29" s="1" t="s">
        <v>430</v>
      </c>
      <c r="L29" s="1" t="str">
        <f t="shared" si="1"/>
        <v>"The is clean and well - managed , Thank You for all care and support"</v>
      </c>
    </row>
    <row r="30" ht="15.75" customHeight="1">
      <c r="A30" s="7" t="s">
        <v>432</v>
      </c>
      <c r="B30" s="1" t="s">
        <v>438</v>
      </c>
      <c r="C30" s="8" t="s">
        <v>389</v>
      </c>
      <c r="D30" s="8" t="s">
        <v>439</v>
      </c>
      <c r="E30" s="1">
        <v>5.0</v>
      </c>
      <c r="F30" s="1">
        <v>-471.0</v>
      </c>
      <c r="G30" s="1" t="s">
        <v>102</v>
      </c>
      <c r="H30" s="1" t="s">
        <v>442</v>
      </c>
      <c r="I30" s="1" t="s">
        <v>444</v>
      </c>
      <c r="J30" s="1" t="s">
        <v>445</v>
      </c>
      <c r="L30" s="1" t="str">
        <f t="shared" si="1"/>
        <v>"It provided me a long-term relief." </v>
      </c>
    </row>
    <row r="31" ht="15.75" customHeight="1">
      <c r="A31" s="7" t="s">
        <v>446</v>
      </c>
      <c r="B31" s="1" t="s">
        <v>449</v>
      </c>
      <c r="C31" s="1" t="s">
        <v>42</v>
      </c>
      <c r="D31" s="8" t="s">
        <v>450</v>
      </c>
      <c r="E31" s="1">
        <v>5.0</v>
      </c>
      <c r="F31" s="1">
        <v>-255.0</v>
      </c>
      <c r="G31" s="1" t="s">
        <v>456</v>
      </c>
      <c r="H31" s="1" t="s">
        <v>458</v>
      </c>
      <c r="I31" s="1" t="s">
        <v>459</v>
      </c>
      <c r="J31" s="1" t="s">
        <v>112</v>
      </c>
      <c r="K31" s="1" t="s">
        <v>461</v>
      </c>
      <c r="L31" s="1" t="str">
        <f t="shared" si="1"/>
        <v>"The is friendly, and the office is clean."</v>
      </c>
    </row>
    <row r="32" ht="15.75" customHeight="1">
      <c r="A32" s="7" t="s">
        <v>462</v>
      </c>
      <c r="B32" s="1" t="s">
        <v>463</v>
      </c>
      <c r="C32" s="1" t="s">
        <v>42</v>
      </c>
      <c r="D32" s="8" t="s">
        <v>465</v>
      </c>
      <c r="E32" s="1">
        <v>4.9</v>
      </c>
      <c r="F32" s="1">
        <v>-749.0</v>
      </c>
      <c r="G32" s="1" t="s">
        <v>470</v>
      </c>
      <c r="H32" s="1" t="s">
        <v>471</v>
      </c>
      <c r="I32" s="1" t="s">
        <v>419</v>
      </c>
      <c r="J32" s="1" t="s">
        <v>472</v>
      </c>
      <c r="L32" s="1" t="str">
        <f t="shared" si="1"/>
        <v>"Dr. Harshad is really good at diagnosing the issue." </v>
      </c>
    </row>
    <row r="33" ht="15.75" customHeight="1">
      <c r="A33" s="2" t="s">
        <v>42</v>
      </c>
      <c r="B33" s="1" t="s">
        <v>473</v>
      </c>
      <c r="C33" s="1" t="s">
        <v>42</v>
      </c>
      <c r="D33" s="8" t="s">
        <v>474</v>
      </c>
      <c r="E33" s="1">
        <v>4.9</v>
      </c>
      <c r="F33" s="1">
        <v>-115.0</v>
      </c>
      <c r="G33" s="1" t="s">
        <v>51</v>
      </c>
      <c r="H33" s="1" t="s">
        <v>476</v>
      </c>
      <c r="I33" s="1" t="s">
        <v>479</v>
      </c>
      <c r="J33" s="1" t="s">
        <v>480</v>
      </c>
      <c r="K33" s="1" t="s">
        <v>481</v>
      </c>
      <c r="L33" s="1" t="str">
        <f t="shared" si="1"/>
        <v>"Good ."</v>
      </c>
    </row>
    <row r="34" ht="15.75" customHeight="1">
      <c r="A34" s="7" t="s">
        <v>482</v>
      </c>
      <c r="B34" s="1" t="s">
        <v>485</v>
      </c>
      <c r="C34" s="8" t="s">
        <v>486</v>
      </c>
      <c r="D34" s="8" t="s">
        <v>489</v>
      </c>
      <c r="E34" s="1">
        <v>5.0</v>
      </c>
      <c r="F34" s="1">
        <v>-44.0</v>
      </c>
      <c r="G34" s="1" t="s">
        <v>51</v>
      </c>
      <c r="H34" s="1" t="s">
        <v>494</v>
      </c>
      <c r="I34" s="1" t="s">
        <v>495</v>
      </c>
      <c r="J34" s="1" t="s">
        <v>496</v>
      </c>
      <c r="L34" s="1" t="str">
        <f t="shared" si="1"/>
        <v>"I came in with severe pain, and I’m leaving with incredible results." </v>
      </c>
    </row>
    <row r="35" ht="15.75" customHeight="1">
      <c r="A35" s="2" t="s">
        <v>42</v>
      </c>
      <c r="B35" s="1" t="s">
        <v>498</v>
      </c>
      <c r="C35" s="1" t="s">
        <v>42</v>
      </c>
      <c r="D35" s="8" t="s">
        <v>499</v>
      </c>
      <c r="E35" s="1">
        <v>4.7</v>
      </c>
      <c r="F35" s="1">
        <v>-3.0</v>
      </c>
      <c r="G35" s="1" t="s">
        <v>51</v>
      </c>
      <c r="H35" s="1" t="s">
        <v>502</v>
      </c>
      <c r="I35" s="1" t="s">
        <v>503</v>
      </c>
      <c r="J35" s="1" t="s">
        <v>504</v>
      </c>
      <c r="L35" s="1" t="str">
        <f t="shared" si="1"/>
        <v>On-site services </v>
      </c>
    </row>
    <row r="36" ht="15.75" customHeight="1">
      <c r="A36" s="2" t="s">
        <v>42</v>
      </c>
      <c r="B36" s="1" t="s">
        <v>382</v>
      </c>
      <c r="C36" s="1" t="s">
        <v>42</v>
      </c>
      <c r="D36" s="8" t="s">
        <v>379</v>
      </c>
      <c r="E36" s="1">
        <v>5.0</v>
      </c>
      <c r="F36" s="1">
        <v>-1.0</v>
      </c>
      <c r="G36" s="1" t="s">
        <v>51</v>
      </c>
      <c r="H36" s="1" t="s">
        <v>383</v>
      </c>
      <c r="J36" s="1" t="s">
        <v>358</v>
      </c>
      <c r="K36" s="1" t="s">
        <v>360</v>
      </c>
      <c r="L36" s="1" t="str">
        <f t="shared" si="1"/>
        <v>"Clean , smooth consultation process, and a comfortable atmosphere."</v>
      </c>
    </row>
    <row r="37" ht="15.75" customHeight="1">
      <c r="A37" s="7" t="s">
        <v>509</v>
      </c>
      <c r="B37" s="1" t="s">
        <v>510</v>
      </c>
      <c r="C37" s="8" t="s">
        <v>511</v>
      </c>
      <c r="D37" s="8" t="s">
        <v>512</v>
      </c>
      <c r="E37" s="1">
        <v>4.9</v>
      </c>
      <c r="F37" s="1">
        <v>-757.0</v>
      </c>
      <c r="G37" s="1" t="s">
        <v>514</v>
      </c>
      <c r="H37" s="1" t="s">
        <v>52</v>
      </c>
      <c r="I37" s="1" t="s">
        <v>515</v>
      </c>
      <c r="J37" s="1" t="s">
        <v>504</v>
      </c>
      <c r="L37" s="1" t="str">
        <f t="shared" si="1"/>
        <v>On-site services </v>
      </c>
    </row>
    <row r="38" ht="15.75" customHeight="1">
      <c r="A38" s="2" t="s">
        <v>42</v>
      </c>
      <c r="B38" s="1" t="s">
        <v>517</v>
      </c>
      <c r="C38" s="1" t="s">
        <v>42</v>
      </c>
      <c r="D38" s="8" t="s">
        <v>518</v>
      </c>
      <c r="E38" s="1">
        <v>4.8</v>
      </c>
      <c r="F38" s="1">
        <v>-525.0</v>
      </c>
      <c r="G38" s="1" t="s">
        <v>521</v>
      </c>
      <c r="H38" s="1" t="s">
        <v>522</v>
      </c>
      <c r="I38" s="1" t="s">
        <v>523</v>
      </c>
      <c r="L38" s="1" t="str">
        <f t="shared" si="1"/>
        <v> </v>
      </c>
    </row>
    <row r="39" ht="15.75" customHeight="1">
      <c r="A39" s="7" t="s">
        <v>526</v>
      </c>
      <c r="B39" s="1" t="s">
        <v>529</v>
      </c>
      <c r="C39" s="8" t="s">
        <v>530</v>
      </c>
      <c r="D39" s="8" t="s">
        <v>531</v>
      </c>
      <c r="E39" s="1">
        <v>4.9</v>
      </c>
      <c r="F39" s="1">
        <v>-590.0</v>
      </c>
      <c r="G39" s="1" t="s">
        <v>279</v>
      </c>
      <c r="H39" s="1" t="s">
        <v>533</v>
      </c>
      <c r="I39" s="1" t="s">
        <v>534</v>
      </c>
      <c r="J39" s="1" t="s">
        <v>535</v>
      </c>
      <c r="L39" s="1" t="str">
        <f t="shared" si="1"/>
        <v>"Medical facilities are modern, and the staff is professional and supportive." </v>
      </c>
    </row>
    <row r="40" ht="15.75" customHeight="1">
      <c r="A40" s="2" t="s">
        <v>42</v>
      </c>
      <c r="B40" s="1" t="s">
        <v>537</v>
      </c>
      <c r="C40" s="1" t="s">
        <v>42</v>
      </c>
      <c r="D40" s="8" t="s">
        <v>538</v>
      </c>
      <c r="E40" s="1">
        <v>4.6</v>
      </c>
      <c r="F40" s="1">
        <v>-22.0</v>
      </c>
      <c r="G40" s="1" t="s">
        <v>74</v>
      </c>
      <c r="H40" s="1" t="s">
        <v>539</v>
      </c>
      <c r="I40" s="1" t="s">
        <v>540</v>
      </c>
      <c r="J40" s="1" t="s">
        <v>541</v>
      </c>
      <c r="K40" s="1" t="s">
        <v>481</v>
      </c>
      <c r="L40" s="1" t="str">
        <f t="shared" si="1"/>
        <v>"Significant relief from ."</v>
      </c>
    </row>
    <row r="41" ht="15.75" customHeight="1">
      <c r="A41" s="7" t="s">
        <v>542</v>
      </c>
      <c r="B41" s="1" t="s">
        <v>543</v>
      </c>
      <c r="C41" s="1" t="s">
        <v>42</v>
      </c>
      <c r="D41" s="8" t="s">
        <v>544</v>
      </c>
      <c r="E41" s="1">
        <v>4.8</v>
      </c>
      <c r="F41" s="1">
        <v>-174.0</v>
      </c>
      <c r="G41" s="1" t="s">
        <v>322</v>
      </c>
      <c r="H41" s="1" t="s">
        <v>545</v>
      </c>
      <c r="I41" s="1" t="s">
        <v>546</v>
      </c>
      <c r="J41" s="1" t="s">
        <v>547</v>
      </c>
      <c r="K41" s="1" t="s">
        <v>548</v>
      </c>
      <c r="L41" s="1" t="str">
        <f t="shared" si="1"/>
        <v>" was painless and well explained."</v>
      </c>
    </row>
    <row r="42" ht="15.75" customHeight="1">
      <c r="A42" s="7" t="s">
        <v>549</v>
      </c>
      <c r="B42" s="1" t="s">
        <v>550</v>
      </c>
      <c r="C42" s="1" t="s">
        <v>42</v>
      </c>
      <c r="D42" s="8" t="s">
        <v>551</v>
      </c>
      <c r="E42" s="1">
        <v>4.5</v>
      </c>
      <c r="F42" s="1">
        <v>-83.0</v>
      </c>
      <c r="G42" s="1" t="s">
        <v>553</v>
      </c>
      <c r="H42" s="1" t="s">
        <v>554</v>
      </c>
      <c r="I42" s="1" t="s">
        <v>555</v>
      </c>
      <c r="L42" s="1" t="str">
        <f t="shared" si="1"/>
        <v> </v>
      </c>
    </row>
    <row r="43" ht="15.75" customHeight="1">
      <c r="A43" s="2" t="s">
        <v>42</v>
      </c>
      <c r="B43" s="1" t="s">
        <v>556</v>
      </c>
      <c r="C43" s="1" t="s">
        <v>42</v>
      </c>
      <c r="D43" s="8" t="s">
        <v>557</v>
      </c>
      <c r="E43" s="1">
        <v>4.9</v>
      </c>
      <c r="F43" s="1">
        <v>-170.0</v>
      </c>
      <c r="G43" s="1" t="s">
        <v>559</v>
      </c>
      <c r="H43" s="1" t="s">
        <v>560</v>
      </c>
      <c r="I43" s="1" t="s">
        <v>165</v>
      </c>
      <c r="J43" s="1" t="s">
        <v>504</v>
      </c>
      <c r="L43" s="1" t="str">
        <f t="shared" si="1"/>
        <v>On-site services </v>
      </c>
    </row>
    <row r="44" ht="15.75" customHeight="1">
      <c r="A44" s="2" t="s">
        <v>42</v>
      </c>
      <c r="B44" s="1" t="s">
        <v>562</v>
      </c>
      <c r="C44" s="1" t="s">
        <v>42</v>
      </c>
      <c r="D44" s="8" t="s">
        <v>563</v>
      </c>
      <c r="E44" s="1">
        <v>4.5</v>
      </c>
      <c r="F44" s="1">
        <v>-31.0</v>
      </c>
      <c r="G44" s="1" t="s">
        <v>192</v>
      </c>
      <c r="H44" s="1" t="s">
        <v>567</v>
      </c>
      <c r="I44" s="1" t="s">
        <v>568</v>
      </c>
      <c r="L44" s="1" t="str">
        <f t="shared" si="1"/>
        <v> </v>
      </c>
    </row>
    <row r="45" ht="15.75" customHeight="1">
      <c r="A45" s="7" t="s">
        <v>186</v>
      </c>
      <c r="B45" s="1" t="s">
        <v>180</v>
      </c>
      <c r="C45" s="8" t="s">
        <v>573</v>
      </c>
      <c r="D45" s="8" t="s">
        <v>178</v>
      </c>
      <c r="E45" s="1">
        <v>4.9</v>
      </c>
      <c r="F45" s="1">
        <v>-330.0</v>
      </c>
      <c r="G45" s="1" t="s">
        <v>181</v>
      </c>
      <c r="H45" s="1" t="s">
        <v>182</v>
      </c>
      <c r="J45" s="1" t="s">
        <v>162</v>
      </c>
      <c r="L45" s="1" t="str">
        <f t="shared" si="1"/>
        <v>"Excellent service, professional care, and a friendly environment." </v>
      </c>
    </row>
    <row r="46" ht="15.75" customHeight="1">
      <c r="A46" s="2" t="s">
        <v>42</v>
      </c>
      <c r="B46" s="1" t="s">
        <v>578</v>
      </c>
      <c r="C46" s="1" t="s">
        <v>42</v>
      </c>
      <c r="D46" s="8" t="s">
        <v>579</v>
      </c>
      <c r="E46" s="1">
        <v>5.0</v>
      </c>
      <c r="F46" s="1">
        <v>-31.0</v>
      </c>
      <c r="G46" s="1" t="s">
        <v>102</v>
      </c>
      <c r="H46" s="1" t="s">
        <v>582</v>
      </c>
      <c r="J46" s="1" t="s">
        <v>584</v>
      </c>
      <c r="L46" s="1" t="str">
        <f t="shared" si="1"/>
        <v>"I came painless &amp; left for home post surgery painless." </v>
      </c>
    </row>
    <row r="47" ht="15.75" customHeight="1">
      <c r="A47" s="7" t="s">
        <v>585</v>
      </c>
      <c r="B47" s="1" t="s">
        <v>588</v>
      </c>
      <c r="C47" s="1" t="s">
        <v>42</v>
      </c>
      <c r="D47" s="8" t="s">
        <v>589</v>
      </c>
      <c r="E47" s="1">
        <v>4.9</v>
      </c>
      <c r="F47" s="1">
        <v>-222.0</v>
      </c>
      <c r="G47" s="1" t="s">
        <v>51</v>
      </c>
      <c r="H47" s="1" t="s">
        <v>592</v>
      </c>
      <c r="I47" s="1" t="s">
        <v>90</v>
      </c>
      <c r="J47" s="1" t="s">
        <v>594</v>
      </c>
      <c r="L47" s="1" t="str">
        <f t="shared" si="1"/>
        <v>"Their timely decisions, expertise, and compassionate care saved my life." </v>
      </c>
    </row>
    <row r="48" ht="15.75" customHeight="1">
      <c r="A48" s="7" t="s">
        <v>374</v>
      </c>
      <c r="B48" s="1" t="s">
        <v>365</v>
      </c>
      <c r="C48" s="8" t="s">
        <v>598</v>
      </c>
      <c r="D48" s="8" t="s">
        <v>361</v>
      </c>
      <c r="E48" s="1">
        <v>5.0</v>
      </c>
      <c r="F48" s="1">
        <v>-18.0</v>
      </c>
      <c r="G48" s="1" t="s">
        <v>366</v>
      </c>
      <c r="H48" s="1" t="s">
        <v>369</v>
      </c>
      <c r="I48" s="1" t="s">
        <v>372</v>
      </c>
      <c r="J48" s="1" t="s">
        <v>112</v>
      </c>
      <c r="K48" s="1" t="s">
        <v>346</v>
      </c>
      <c r="L48" s="1" t="str">
        <f t="shared" si="1"/>
        <v>"The is clean, peaceful, and welcoming, with very polite staff."</v>
      </c>
    </row>
    <row r="49" ht="15.75" customHeight="1">
      <c r="A49" s="7" t="s">
        <v>605</v>
      </c>
      <c r="B49" s="1" t="s">
        <v>607</v>
      </c>
      <c r="C49" s="8" t="s">
        <v>608</v>
      </c>
      <c r="D49" s="8" t="s">
        <v>609</v>
      </c>
      <c r="E49" s="1">
        <v>4.8</v>
      </c>
      <c r="F49" s="1">
        <v>-257.0</v>
      </c>
      <c r="G49" s="1" t="s">
        <v>102</v>
      </c>
      <c r="H49" s="1" t="s">
        <v>610</v>
      </c>
      <c r="I49" s="1" t="s">
        <v>611</v>
      </c>
      <c r="J49" s="1" t="s">
        <v>504</v>
      </c>
      <c r="L49" s="1" t="str">
        <f t="shared" si="1"/>
        <v>On-site services </v>
      </c>
    </row>
    <row r="50" ht="15.75" customHeight="1">
      <c r="A50" s="7" t="s">
        <v>604</v>
      </c>
      <c r="B50" s="1" t="s">
        <v>601</v>
      </c>
      <c r="C50" s="1" t="s">
        <v>42</v>
      </c>
      <c r="D50" s="8" t="s">
        <v>600</v>
      </c>
      <c r="E50" s="1">
        <v>4.8</v>
      </c>
      <c r="F50" s="1">
        <v>-238.0</v>
      </c>
      <c r="G50" s="1" t="s">
        <v>115</v>
      </c>
      <c r="H50" s="1" t="s">
        <v>602</v>
      </c>
      <c r="I50" s="1" t="s">
        <v>603</v>
      </c>
      <c r="J50" s="1" t="s">
        <v>112</v>
      </c>
      <c r="K50" s="1" t="s">
        <v>574</v>
      </c>
      <c r="L50" s="1" t="str">
        <f t="shared" si="1"/>
        <v>"The is clean, well-maintained, and the staff is always welcoming."</v>
      </c>
    </row>
    <row r="51" ht="15.75" customHeight="1">
      <c r="A51" s="7" t="s">
        <v>618</v>
      </c>
      <c r="B51" s="1" t="s">
        <v>621</v>
      </c>
      <c r="C51" s="1" t="s">
        <v>42</v>
      </c>
      <c r="D51" s="8" t="s">
        <v>622</v>
      </c>
      <c r="E51" s="1">
        <v>4.9</v>
      </c>
      <c r="F51" s="1">
        <v>-157.0</v>
      </c>
      <c r="G51" s="1" t="s">
        <v>51</v>
      </c>
      <c r="H51" s="1" t="s">
        <v>626</v>
      </c>
      <c r="I51" s="1" t="s">
        <v>627</v>
      </c>
      <c r="J51" s="1" t="s">
        <v>112</v>
      </c>
      <c r="K51" s="1" t="s">
        <v>612</v>
      </c>
      <c r="L51" s="1" t="str">
        <f t="shared" si="1"/>
        <v>"The is well-maintained, and the staff is very supportive."</v>
      </c>
    </row>
    <row r="52" ht="15.75" customHeight="1">
      <c r="A52" s="7" t="s">
        <v>628</v>
      </c>
      <c r="B52" s="1" t="s">
        <v>632</v>
      </c>
      <c r="C52" s="1" t="s">
        <v>42</v>
      </c>
      <c r="D52" s="8" t="s">
        <v>634</v>
      </c>
      <c r="E52" s="1">
        <v>4.2</v>
      </c>
      <c r="F52" s="1">
        <v>-70.0</v>
      </c>
      <c r="G52" s="1" t="s">
        <v>616</v>
      </c>
      <c r="H52" s="1" t="s">
        <v>636</v>
      </c>
      <c r="I52" s="1" t="s">
        <v>638</v>
      </c>
      <c r="J52" s="1" t="s">
        <v>112</v>
      </c>
      <c r="K52" s="1" t="s">
        <v>639</v>
      </c>
      <c r="L52" s="1" t="str">
        <f t="shared" si="1"/>
        <v>"The and their staff are extremely friendly and professional."</v>
      </c>
    </row>
    <row r="53" ht="15.75" customHeight="1">
      <c r="A53" s="2" t="s">
        <v>42</v>
      </c>
      <c r="B53" s="1" t="s">
        <v>643</v>
      </c>
      <c r="C53" s="8" t="s">
        <v>644</v>
      </c>
      <c r="D53" s="8" t="s">
        <v>646</v>
      </c>
      <c r="E53" s="1">
        <v>5.0</v>
      </c>
      <c r="F53" s="1">
        <v>-34.0</v>
      </c>
      <c r="G53" s="1" t="s">
        <v>322</v>
      </c>
      <c r="H53" s="1" t="s">
        <v>648</v>
      </c>
      <c r="I53" s="1" t="s">
        <v>649</v>
      </c>
      <c r="J53" s="1" t="s">
        <v>112</v>
      </c>
      <c r="K53" s="1" t="s">
        <v>623</v>
      </c>
      <c r="L53" s="1" t="str">
        <f t="shared" si="1"/>
        <v>"The provided was excellent and effective."</v>
      </c>
    </row>
    <row r="54" ht="15.75" customHeight="1">
      <c r="A54" s="7" t="s">
        <v>650</v>
      </c>
      <c r="B54" s="1" t="s">
        <v>652</v>
      </c>
      <c r="C54" s="8" t="s">
        <v>653</v>
      </c>
      <c r="D54" s="8" t="s">
        <v>654</v>
      </c>
      <c r="E54" s="1">
        <v>4.7</v>
      </c>
      <c r="F54" s="1">
        <v>-108.0</v>
      </c>
      <c r="G54" s="1" t="s">
        <v>655</v>
      </c>
      <c r="H54" s="1" t="s">
        <v>656</v>
      </c>
      <c r="I54" s="1" t="s">
        <v>657</v>
      </c>
      <c r="L54" s="1" t="str">
        <f t="shared" si="1"/>
        <v> </v>
      </c>
    </row>
    <row r="55" ht="15.75" customHeight="1">
      <c r="A55" s="7" t="s">
        <v>587</v>
      </c>
      <c r="B55" s="1" t="s">
        <v>583</v>
      </c>
      <c r="C55" s="1" t="s">
        <v>42</v>
      </c>
      <c r="D55" s="8" t="s">
        <v>580</v>
      </c>
      <c r="E55" s="1">
        <v>4.4</v>
      </c>
      <c r="F55" s="1">
        <v>-158.0</v>
      </c>
      <c r="G55" s="1" t="s">
        <v>322</v>
      </c>
      <c r="H55" s="1" t="s">
        <v>586</v>
      </c>
      <c r="L55" s="1" t="str">
        <f t="shared" si="1"/>
        <v> </v>
      </c>
    </row>
    <row r="56" ht="15.75" customHeight="1">
      <c r="A56" s="2" t="s">
        <v>42</v>
      </c>
      <c r="B56" s="1" t="s">
        <v>170</v>
      </c>
      <c r="C56" s="1" t="s">
        <v>42</v>
      </c>
      <c r="D56" s="8" t="s">
        <v>169</v>
      </c>
      <c r="E56" s="1">
        <v>5.0</v>
      </c>
      <c r="F56" s="1">
        <v>-98.0</v>
      </c>
      <c r="G56" s="1" t="s">
        <v>51</v>
      </c>
      <c r="H56" s="1" t="s">
        <v>171</v>
      </c>
      <c r="I56" s="1" t="s">
        <v>172</v>
      </c>
      <c r="J56" s="1" t="s">
        <v>150</v>
      </c>
      <c r="L56" s="1" t="str">
        <f t="shared" si="1"/>
        <v>"The services that I receive from Dr  is excellent." </v>
      </c>
    </row>
    <row r="57" ht="15.75" customHeight="1">
      <c r="A57" s="7" t="s">
        <v>664</v>
      </c>
      <c r="B57" s="1" t="s">
        <v>666</v>
      </c>
      <c r="C57" s="1" t="s">
        <v>42</v>
      </c>
      <c r="D57" s="8" t="s">
        <v>667</v>
      </c>
      <c r="E57" s="1">
        <v>4.9</v>
      </c>
      <c r="F57" s="1">
        <v>-101.0</v>
      </c>
      <c r="G57" s="1" t="s">
        <v>51</v>
      </c>
      <c r="H57" s="1" t="s">
        <v>670</v>
      </c>
      <c r="I57" s="1" t="s">
        <v>671</v>
      </c>
      <c r="J57" s="1" t="s">
        <v>504</v>
      </c>
      <c r="L57" s="1" t="str">
        <f t="shared" si="1"/>
        <v>On-site services </v>
      </c>
    </row>
    <row r="58" ht="15.75" customHeight="1">
      <c r="A58" s="7" t="s">
        <v>673</v>
      </c>
      <c r="B58" s="1" t="s">
        <v>677</v>
      </c>
      <c r="C58" s="1" t="s">
        <v>42</v>
      </c>
      <c r="D58" s="8" t="s">
        <v>678</v>
      </c>
      <c r="E58" s="1">
        <v>4.7</v>
      </c>
      <c r="F58" s="1">
        <v>-102.0</v>
      </c>
      <c r="G58" s="1" t="s">
        <v>680</v>
      </c>
      <c r="H58" s="1" t="s">
        <v>681</v>
      </c>
      <c r="I58" s="1" t="s">
        <v>90</v>
      </c>
      <c r="J58" s="1" t="s">
        <v>682</v>
      </c>
      <c r="L58" s="1" t="str">
        <f t="shared" si="1"/>
        <v>"In 24 hours I saw changes, 2% improvement in my symptoms." </v>
      </c>
    </row>
    <row r="59" ht="15.75" customHeight="1">
      <c r="A59" s="2" t="s">
        <v>42</v>
      </c>
      <c r="B59" s="1" t="s">
        <v>143</v>
      </c>
      <c r="C59" s="1" t="s">
        <v>42</v>
      </c>
      <c r="D59" s="8" t="s">
        <v>140</v>
      </c>
      <c r="E59" s="1">
        <v>4.8</v>
      </c>
      <c r="F59" s="1">
        <v>-41.0</v>
      </c>
      <c r="G59" s="1" t="s">
        <v>51</v>
      </c>
      <c r="H59" s="1" t="s">
        <v>145</v>
      </c>
      <c r="I59" s="1" t="s">
        <v>147</v>
      </c>
      <c r="J59" s="1" t="s">
        <v>125</v>
      </c>
      <c r="K59" s="1" t="s">
        <v>131</v>
      </c>
      <c r="L59" s="1" t="str">
        <f t="shared" si="1"/>
        <v>"All the staff in the very supportive and helpful."</v>
      </c>
    </row>
    <row r="60" ht="15.75" customHeight="1">
      <c r="A60" s="7" t="s">
        <v>685</v>
      </c>
      <c r="B60" s="1" t="s">
        <v>688</v>
      </c>
      <c r="C60" s="8" t="s">
        <v>689</v>
      </c>
      <c r="D60" s="8" t="s">
        <v>692</v>
      </c>
      <c r="E60" s="1">
        <v>4.9</v>
      </c>
      <c r="F60" s="1">
        <v>-68.0</v>
      </c>
      <c r="G60" s="1" t="s">
        <v>51</v>
      </c>
      <c r="H60" s="1" t="s">
        <v>694</v>
      </c>
      <c r="J60" s="1" t="s">
        <v>112</v>
      </c>
      <c r="K60" s="1" t="s">
        <v>695</v>
      </c>
      <c r="L60" s="1" t="str">
        <f t="shared" si="1"/>
        <v>"The was thorough and effective—highly recommended!"</v>
      </c>
    </row>
    <row r="61" ht="15.75" customHeight="1">
      <c r="A61" s="7" t="s">
        <v>342</v>
      </c>
      <c r="B61" s="1" t="s">
        <v>337</v>
      </c>
      <c r="C61" s="1" t="s">
        <v>42</v>
      </c>
      <c r="D61" s="8" t="s">
        <v>331</v>
      </c>
      <c r="E61" s="1">
        <v>5.0</v>
      </c>
      <c r="F61" s="1">
        <v>-110.0</v>
      </c>
      <c r="G61" s="1" t="s">
        <v>338</v>
      </c>
      <c r="H61" s="1" t="s">
        <v>340</v>
      </c>
      <c r="I61" s="1" t="s">
        <v>341</v>
      </c>
      <c r="J61" s="1" t="s">
        <v>312</v>
      </c>
      <c r="L61" s="1" t="str">
        <f t="shared" si="1"/>
        <v>"Helped tackle my dandruff issue and could see considerable growth in hair." </v>
      </c>
    </row>
    <row r="62" ht="15.75" customHeight="1">
      <c r="A62" s="7" t="s">
        <v>676</v>
      </c>
      <c r="B62" s="1" t="s">
        <v>672</v>
      </c>
      <c r="C62" s="8" t="s">
        <v>701</v>
      </c>
      <c r="D62" s="8" t="s">
        <v>669</v>
      </c>
      <c r="E62" s="1">
        <v>4.9</v>
      </c>
      <c r="F62" s="1">
        <v>-352.0</v>
      </c>
      <c r="G62" s="1" t="s">
        <v>559</v>
      </c>
      <c r="H62" s="1" t="s">
        <v>674</v>
      </c>
      <c r="I62" s="1" t="s">
        <v>675</v>
      </c>
      <c r="J62" s="1" t="s">
        <v>651</v>
      </c>
      <c r="L62" s="1" t="str">
        <f t="shared" si="1"/>
        <v>"Only in 2 sessions, I feel much relieved and can see the difference." </v>
      </c>
    </row>
    <row r="63" ht="15.75" customHeight="1">
      <c r="A63" s="7" t="s">
        <v>508</v>
      </c>
      <c r="B63" s="1" t="s">
        <v>505</v>
      </c>
      <c r="C63" s="8" t="s">
        <v>707</v>
      </c>
      <c r="D63" s="8" t="s">
        <v>501</v>
      </c>
      <c r="E63" s="1">
        <v>4.9</v>
      </c>
      <c r="F63" s="1">
        <v>-111.0</v>
      </c>
      <c r="G63" s="1" t="s">
        <v>51</v>
      </c>
      <c r="H63" s="1" t="s">
        <v>506</v>
      </c>
      <c r="I63" s="1" t="s">
        <v>507</v>
      </c>
      <c r="J63" s="1" t="s">
        <v>475</v>
      </c>
      <c r="L63" s="1" t="str">
        <f t="shared" si="1"/>
        <v>"He is truly blessed with excellent skills and clinical knowledge." </v>
      </c>
    </row>
    <row r="64" ht="15.75" customHeight="1">
      <c r="A64" s="7" t="s">
        <v>645</v>
      </c>
      <c r="B64" s="1" t="s">
        <v>637</v>
      </c>
      <c r="C64" s="8" t="s">
        <v>714</v>
      </c>
      <c r="D64" s="8" t="s">
        <v>635</v>
      </c>
      <c r="E64" s="1">
        <v>4.8</v>
      </c>
      <c r="F64" s="1">
        <v>-317.0</v>
      </c>
      <c r="G64" s="1" t="s">
        <v>640</v>
      </c>
      <c r="H64" s="1" t="s">
        <v>641</v>
      </c>
      <c r="I64" s="1" t="s">
        <v>515</v>
      </c>
      <c r="J64" s="1" t="s">
        <v>112</v>
      </c>
      <c r="K64" s="1" t="s">
        <v>606</v>
      </c>
      <c r="L64" s="1" t="str">
        <f t="shared" si="1"/>
        <v>"The really listens and creates a plan tailored to your needs."</v>
      </c>
    </row>
    <row r="65" ht="15.75" customHeight="1">
      <c r="A65" s="2" t="s">
        <v>42</v>
      </c>
      <c r="B65" s="1" t="s">
        <v>715</v>
      </c>
      <c r="C65" s="1" t="s">
        <v>42</v>
      </c>
      <c r="D65" s="8" t="s">
        <v>716</v>
      </c>
      <c r="E65" s="1">
        <v>4.9</v>
      </c>
      <c r="F65" s="1">
        <v>-28.0</v>
      </c>
      <c r="G65" s="1" t="s">
        <v>181</v>
      </c>
      <c r="H65" s="1" t="s">
        <v>719</v>
      </c>
      <c r="I65" s="1" t="s">
        <v>720</v>
      </c>
      <c r="J65" s="1" t="s">
        <v>721</v>
      </c>
      <c r="L65" s="1" t="str">
        <f t="shared" si="1"/>
        <v>"Thanks to their care and guidance, my shoulder feels much better now." </v>
      </c>
    </row>
    <row r="66" ht="15.75" customHeight="1">
      <c r="A66" s="2" t="s">
        <v>42</v>
      </c>
      <c r="B66" s="1" t="s">
        <v>697</v>
      </c>
      <c r="C66" s="1" t="s">
        <v>42</v>
      </c>
      <c r="D66" s="8" t="s">
        <v>696</v>
      </c>
      <c r="E66" s="1">
        <v>4.7</v>
      </c>
      <c r="F66" s="1">
        <v>-50.0</v>
      </c>
      <c r="G66" s="1" t="s">
        <v>192</v>
      </c>
      <c r="H66" s="1" t="s">
        <v>698</v>
      </c>
      <c r="I66" s="1" t="s">
        <v>699</v>
      </c>
      <c r="J66" s="1" t="s">
        <v>665</v>
      </c>
      <c r="K66" s="1" t="s">
        <v>668</v>
      </c>
      <c r="L66" s="1" t="str">
        <f t="shared" si="1"/>
        <v>"The only drawback of this are the receptionists."</v>
      </c>
    </row>
    <row r="67" ht="15.75" customHeight="1">
      <c r="A67" s="7" t="s">
        <v>723</v>
      </c>
      <c r="B67" s="1" t="s">
        <v>725</v>
      </c>
      <c r="C67" s="1" t="s">
        <v>42</v>
      </c>
      <c r="D67" s="8" t="s">
        <v>726</v>
      </c>
      <c r="E67" s="1">
        <v>4.5</v>
      </c>
      <c r="F67" s="1">
        <v>-138.0</v>
      </c>
      <c r="G67" s="1" t="s">
        <v>728</v>
      </c>
      <c r="H67" s="1" t="s">
        <v>729</v>
      </c>
      <c r="I67" s="1" t="s">
        <v>731</v>
      </c>
      <c r="J67" s="1" t="s">
        <v>112</v>
      </c>
      <c r="K67" s="1" t="s">
        <v>712</v>
      </c>
      <c r="L67" s="1" t="str">
        <f t="shared" si="1"/>
        <v>"The is well-managed, and the staff is courteous."</v>
      </c>
    </row>
    <row r="68" ht="15.75" customHeight="1">
      <c r="A68" s="2" t="s">
        <v>42</v>
      </c>
      <c r="B68" s="1" t="s">
        <v>204</v>
      </c>
      <c r="C68" s="1" t="s">
        <v>42</v>
      </c>
      <c r="D68" s="8" t="s">
        <v>201</v>
      </c>
      <c r="E68" s="1">
        <v>4.8</v>
      </c>
      <c r="F68" s="1">
        <v>-512.0</v>
      </c>
      <c r="G68" s="1" t="s">
        <v>192</v>
      </c>
      <c r="H68" s="1" t="s">
        <v>205</v>
      </c>
      <c r="I68" s="1" t="s">
        <v>206</v>
      </c>
      <c r="J68" s="1" t="s">
        <v>183</v>
      </c>
      <c r="L68" s="1" t="str">
        <f t="shared" si="1"/>
        <v>"Highly skilled specialist." </v>
      </c>
    </row>
    <row r="69" ht="15.75" customHeight="1">
      <c r="A69" s="7" t="s">
        <v>497</v>
      </c>
      <c r="B69" s="1" t="s">
        <v>491</v>
      </c>
      <c r="C69" s="8" t="s">
        <v>736</v>
      </c>
      <c r="D69" s="8" t="s">
        <v>488</v>
      </c>
      <c r="E69" s="1">
        <v>4.9</v>
      </c>
      <c r="F69" s="1">
        <v>-455.0</v>
      </c>
      <c r="G69" s="1" t="s">
        <v>115</v>
      </c>
      <c r="H69" s="1" t="s">
        <v>492</v>
      </c>
      <c r="I69" s="1" t="s">
        <v>493</v>
      </c>
      <c r="J69" s="1" t="s">
        <v>469</v>
      </c>
      <c r="L69" s="1" t="str">
        <f t="shared" si="1"/>
        <v>"Dr. Nitin Tawte combines expertise and a willingness to listen and discuss." </v>
      </c>
    </row>
    <row r="70" ht="15.75" customHeight="1">
      <c r="A70" s="7" t="s">
        <v>734</v>
      </c>
      <c r="B70" s="1" t="s">
        <v>730</v>
      </c>
      <c r="C70" s="1" t="s">
        <v>42</v>
      </c>
      <c r="D70" s="8" t="s">
        <v>727</v>
      </c>
      <c r="E70" s="1">
        <v>4.8</v>
      </c>
      <c r="F70" s="1">
        <v>-96.0</v>
      </c>
      <c r="G70" s="1" t="s">
        <v>51</v>
      </c>
      <c r="H70" s="1" t="s">
        <v>732</v>
      </c>
      <c r="I70" s="1" t="s">
        <v>733</v>
      </c>
      <c r="J70" s="1" t="s">
        <v>702</v>
      </c>
      <c r="K70" s="1" t="s">
        <v>704</v>
      </c>
      <c r="L70" s="1" t="str">
        <f t="shared" si="1"/>
        <v>"Felt very relaxing in the 1st visit and and staff are very helpful."</v>
      </c>
    </row>
    <row r="71" ht="15.75" customHeight="1">
      <c r="A71" s="7" t="s">
        <v>620</v>
      </c>
      <c r="B71" s="1" t="s">
        <v>615</v>
      </c>
      <c r="C71" s="8" t="s">
        <v>745</v>
      </c>
      <c r="D71" s="8" t="s">
        <v>613</v>
      </c>
      <c r="E71" s="1">
        <v>5.0</v>
      </c>
      <c r="F71" s="1">
        <v>-33.0</v>
      </c>
      <c r="G71" s="1" t="s">
        <v>616</v>
      </c>
      <c r="H71" s="1" t="s">
        <v>617</v>
      </c>
      <c r="I71" s="1" t="s">
        <v>619</v>
      </c>
      <c r="J71" s="1" t="s">
        <v>112</v>
      </c>
      <c r="K71" s="1" t="s">
        <v>590</v>
      </c>
      <c r="L71" s="1" t="str">
        <f t="shared" si="1"/>
        <v>"The was always clean and well-organized."</v>
      </c>
    </row>
    <row r="72" ht="15.75" customHeight="1">
      <c r="A72" s="2" t="s">
        <v>42</v>
      </c>
      <c r="B72" s="1" t="s">
        <v>629</v>
      </c>
      <c r="C72" s="1" t="s">
        <v>42</v>
      </c>
      <c r="D72" s="8" t="s">
        <v>624</v>
      </c>
      <c r="E72" s="1">
        <v>4.9</v>
      </c>
      <c r="F72" s="1">
        <v>-41.0</v>
      </c>
      <c r="G72" s="1" t="s">
        <v>51</v>
      </c>
      <c r="H72" s="1" t="s">
        <v>630</v>
      </c>
      <c r="I72" s="1" t="s">
        <v>631</v>
      </c>
      <c r="J72" s="1" t="s">
        <v>112</v>
      </c>
      <c r="K72" s="1" t="s">
        <v>599</v>
      </c>
      <c r="L72" s="1" t="str">
        <f t="shared" si="1"/>
        <v>"The is clean, well-equipped, and punctual with appointments."</v>
      </c>
    </row>
    <row r="73" ht="15.75" customHeight="1">
      <c r="A73" s="7" t="s">
        <v>752</v>
      </c>
      <c r="B73" s="1" t="s">
        <v>753</v>
      </c>
      <c r="C73" s="8" t="s">
        <v>754</v>
      </c>
      <c r="D73" s="8" t="s">
        <v>756</v>
      </c>
      <c r="E73" s="1">
        <v>4.7</v>
      </c>
      <c r="F73" s="1">
        <v>-421.0</v>
      </c>
      <c r="G73" s="1" t="s">
        <v>83</v>
      </c>
      <c r="H73" s="1" t="s">
        <v>757</v>
      </c>
      <c r="I73" s="1" t="s">
        <v>758</v>
      </c>
      <c r="L73" s="1" t="str">
        <f t="shared" si="1"/>
        <v> </v>
      </c>
    </row>
    <row r="74" ht="15.75" customHeight="1">
      <c r="A74" s="7" t="s">
        <v>297</v>
      </c>
      <c r="B74" s="1" t="s">
        <v>293</v>
      </c>
      <c r="C74" s="8" t="s">
        <v>759</v>
      </c>
      <c r="D74" s="8" t="s">
        <v>289</v>
      </c>
      <c r="E74" s="1">
        <v>4.5</v>
      </c>
      <c r="F74" s="13">
        <v>-1794.0</v>
      </c>
      <c r="G74" s="1" t="s">
        <v>278</v>
      </c>
      <c r="H74" s="1" t="s">
        <v>294</v>
      </c>
      <c r="I74" s="1" t="s">
        <v>295</v>
      </c>
      <c r="J74" s="1" t="s">
        <v>274</v>
      </c>
      <c r="L74" s="1" t="str">
        <f t="shared" si="1"/>
        <v>"Way of doing things were professional and have been going for 4 years." </v>
      </c>
    </row>
    <row r="75" ht="15.75" customHeight="1">
      <c r="A75" s="2" t="s">
        <v>42</v>
      </c>
      <c r="B75" s="1" t="s">
        <v>49</v>
      </c>
      <c r="C75" s="1" t="s">
        <v>42</v>
      </c>
      <c r="D75" s="8" t="s">
        <v>36</v>
      </c>
      <c r="E75" s="1">
        <v>5.0</v>
      </c>
      <c r="F75" s="1">
        <v>-9.0</v>
      </c>
      <c r="G75" s="1" t="s">
        <v>51</v>
      </c>
      <c r="H75" s="1" t="s">
        <v>53</v>
      </c>
      <c r="I75" s="1" t="s">
        <v>58</v>
      </c>
      <c r="L75" s="1" t="str">
        <f t="shared" si="1"/>
        <v> </v>
      </c>
    </row>
    <row r="76" ht="15.75" customHeight="1">
      <c r="A76" s="2" t="s">
        <v>42</v>
      </c>
      <c r="B76" s="1" t="s">
        <v>72</v>
      </c>
      <c r="C76" s="1" t="s">
        <v>42</v>
      </c>
      <c r="D76" s="8" t="s">
        <v>68</v>
      </c>
      <c r="E76" s="1">
        <v>5.0</v>
      </c>
      <c r="F76" s="1">
        <v>-71.0</v>
      </c>
      <c r="G76" s="1" t="s">
        <v>74</v>
      </c>
      <c r="H76" s="1" t="s">
        <v>76</v>
      </c>
      <c r="I76" s="1" t="s">
        <v>78</v>
      </c>
      <c r="L76" s="1" t="str">
        <f t="shared" si="1"/>
        <v> </v>
      </c>
    </row>
    <row r="77" ht="15.75" customHeight="1">
      <c r="A77" s="2" t="s">
        <v>42</v>
      </c>
      <c r="B77" s="1" t="s">
        <v>241</v>
      </c>
      <c r="C77" s="1" t="s">
        <v>42</v>
      </c>
      <c r="D77" s="8" t="s">
        <v>239</v>
      </c>
      <c r="E77" s="1">
        <v>4.4</v>
      </c>
      <c r="F77" s="1">
        <v>-15.0</v>
      </c>
      <c r="G77" s="1" t="s">
        <v>51</v>
      </c>
      <c r="H77" s="1" t="s">
        <v>242</v>
      </c>
      <c r="I77" s="1" t="s">
        <v>244</v>
      </c>
      <c r="J77" s="1" t="s">
        <v>217</v>
      </c>
      <c r="L77" s="1" t="str">
        <f t="shared" si="1"/>
        <v>"I underwent several procedures, and the results were excellent." </v>
      </c>
    </row>
    <row r="78" ht="15.75" customHeight="1">
      <c r="A78" s="7" t="s">
        <v>528</v>
      </c>
      <c r="B78" s="1" t="s">
        <v>519</v>
      </c>
      <c r="C78" s="8" t="s">
        <v>772</v>
      </c>
      <c r="D78" s="8" t="s">
        <v>516</v>
      </c>
      <c r="E78" s="1">
        <v>5.0</v>
      </c>
      <c r="F78" s="13">
        <v>-1074.0</v>
      </c>
      <c r="G78" s="1" t="s">
        <v>520</v>
      </c>
      <c r="H78" s="1" t="s">
        <v>524</v>
      </c>
      <c r="I78" s="1" t="s">
        <v>525</v>
      </c>
      <c r="J78" s="1" t="s">
        <v>112</v>
      </c>
      <c r="K78" s="1" t="s">
        <v>500</v>
      </c>
      <c r="L78" s="1" t="str">
        <f t="shared" si="1"/>
        <v>"The is clean, calming, and the staff is very professional."</v>
      </c>
    </row>
    <row r="79" ht="15.75" customHeight="1">
      <c r="A79" s="7" t="s">
        <v>255</v>
      </c>
      <c r="B79" s="1" t="s">
        <v>249</v>
      </c>
      <c r="C79" s="8" t="s">
        <v>778</v>
      </c>
      <c r="D79" s="8" t="s">
        <v>246</v>
      </c>
      <c r="E79" s="1">
        <v>4.9</v>
      </c>
      <c r="F79" s="1">
        <v>-537.0</v>
      </c>
      <c r="G79" s="1" t="s">
        <v>51</v>
      </c>
      <c r="H79" s="1" t="s">
        <v>252</v>
      </c>
      <c r="I79" s="1" t="s">
        <v>253</v>
      </c>
      <c r="J79" s="1" t="s">
        <v>112</v>
      </c>
      <c r="K79" s="1" t="s">
        <v>238</v>
      </c>
      <c r="L79" s="1" t="str">
        <f t="shared" si="1"/>
        <v>"The and staff are very friendly, positive and responsive."</v>
      </c>
    </row>
    <row r="80" ht="15.75" customHeight="1">
      <c r="A80" s="2" t="s">
        <v>42</v>
      </c>
      <c r="B80" s="1" t="s">
        <v>101</v>
      </c>
      <c r="C80" s="1" t="s">
        <v>42</v>
      </c>
      <c r="D80" s="8" t="s">
        <v>97</v>
      </c>
      <c r="E80" s="1">
        <v>5.0</v>
      </c>
      <c r="F80" s="1">
        <v>-29.0</v>
      </c>
      <c r="G80" s="1" t="s">
        <v>51</v>
      </c>
      <c r="H80" s="1" t="s">
        <v>103</v>
      </c>
      <c r="I80" s="1" t="s">
        <v>106</v>
      </c>
      <c r="J80" s="1" t="s">
        <v>79</v>
      </c>
      <c r="L80" s="1" t="str">
        <f t="shared" si="1"/>
        <v>"The staff made me feel comfortable throughout the visit." </v>
      </c>
    </row>
    <row r="81" ht="15.75" customHeight="1">
      <c r="A81" s="2" t="s">
        <v>42</v>
      </c>
      <c r="B81" s="1" t="s">
        <v>781</v>
      </c>
      <c r="C81" s="1" t="s">
        <v>42</v>
      </c>
      <c r="D81" s="8" t="s">
        <v>783</v>
      </c>
      <c r="E81" s="1">
        <v>4.9</v>
      </c>
      <c r="F81" s="1">
        <v>-64.0</v>
      </c>
      <c r="G81" s="1" t="s">
        <v>51</v>
      </c>
      <c r="H81" s="1" t="s">
        <v>788</v>
      </c>
      <c r="I81" s="1" t="s">
        <v>789</v>
      </c>
      <c r="J81" s="1" t="s">
        <v>790</v>
      </c>
      <c r="L81" s="1" t="str">
        <f t="shared" si="1"/>
        <v>"The staff is professional, polite, and highly knowledgeable." </v>
      </c>
    </row>
    <row r="82" ht="15.75" customHeight="1">
      <c r="A82" s="7" t="s">
        <v>693</v>
      </c>
      <c r="B82" s="1" t="s">
        <v>687</v>
      </c>
      <c r="C82" s="8" t="s">
        <v>791</v>
      </c>
      <c r="D82" s="8" t="s">
        <v>684</v>
      </c>
      <c r="E82" s="1">
        <v>4.6</v>
      </c>
      <c r="F82" s="13">
        <v>-9100.0</v>
      </c>
      <c r="G82" s="1" t="s">
        <v>86</v>
      </c>
      <c r="H82" s="1" t="s">
        <v>52</v>
      </c>
      <c r="I82" s="1" t="s">
        <v>691</v>
      </c>
      <c r="J82" s="1" t="s">
        <v>662</v>
      </c>
      <c r="L82" s="1" t="str">
        <f t="shared" si="1"/>
        <v>"He knowledge and skills are most refined." </v>
      </c>
    </row>
    <row r="83" ht="15.75" customHeight="1">
      <c r="A83" s="7" t="s">
        <v>163</v>
      </c>
      <c r="B83" s="1" t="s">
        <v>158</v>
      </c>
      <c r="C83" s="1" t="s">
        <v>42</v>
      </c>
      <c r="D83" s="8" t="s">
        <v>151</v>
      </c>
      <c r="E83" s="1">
        <v>4.8</v>
      </c>
      <c r="F83" s="13">
        <v>-4169.0</v>
      </c>
      <c r="G83" s="1" t="s">
        <v>86</v>
      </c>
      <c r="H83" s="1" t="s">
        <v>159</v>
      </c>
      <c r="I83" s="1" t="s">
        <v>161</v>
      </c>
      <c r="J83" s="1" t="s">
        <v>139</v>
      </c>
      <c r="L83" s="1" t="str">
        <f t="shared" si="1"/>
        <v>"I would recommend her." </v>
      </c>
    </row>
    <row r="84" ht="15.75" customHeight="1">
      <c r="A84" s="7" t="s">
        <v>792</v>
      </c>
      <c r="B84" s="1" t="s">
        <v>793</v>
      </c>
      <c r="C84" s="1" t="s">
        <v>42</v>
      </c>
      <c r="D84" s="8" t="s">
        <v>794</v>
      </c>
      <c r="E84" s="1">
        <v>4.8</v>
      </c>
      <c r="F84" s="13">
        <v>-1118.0</v>
      </c>
      <c r="G84" s="1" t="s">
        <v>298</v>
      </c>
      <c r="H84" s="1" t="s">
        <v>796</v>
      </c>
      <c r="I84" s="1" t="s">
        <v>797</v>
      </c>
      <c r="J84" s="1" t="s">
        <v>798</v>
      </c>
      <c r="L84" s="1" t="str">
        <f t="shared" si="1"/>
        <v>"She is beauty with brains." </v>
      </c>
    </row>
    <row r="85" ht="15.75" customHeight="1">
      <c r="A85" s="7" t="s">
        <v>799</v>
      </c>
      <c r="B85" s="1" t="s">
        <v>801</v>
      </c>
      <c r="C85" s="1" t="s">
        <v>42</v>
      </c>
      <c r="D85" s="8" t="s">
        <v>802</v>
      </c>
      <c r="E85" s="1">
        <v>4.4</v>
      </c>
      <c r="F85" s="13">
        <v>-3488.0</v>
      </c>
      <c r="G85" s="1" t="s">
        <v>278</v>
      </c>
      <c r="H85" s="1" t="s">
        <v>804</v>
      </c>
      <c r="I85" s="1" t="s">
        <v>805</v>
      </c>
      <c r="J85" s="1" t="s">
        <v>806</v>
      </c>
      <c r="L85" s="1" t="str">
        <f t="shared" si="1"/>
        <v>"Even keeps prescribed tests to a minimal and what’s neeeded." </v>
      </c>
    </row>
    <row r="86" ht="15.75" customHeight="1">
      <c r="A86" s="7" t="s">
        <v>807</v>
      </c>
      <c r="B86" s="1" t="s">
        <v>808</v>
      </c>
      <c r="C86" s="8" t="s">
        <v>809</v>
      </c>
      <c r="D86" s="8" t="s">
        <v>810</v>
      </c>
      <c r="E86" s="1">
        <v>4.7</v>
      </c>
      <c r="F86" s="13">
        <v>-5380.0</v>
      </c>
      <c r="G86" s="1" t="s">
        <v>298</v>
      </c>
      <c r="H86" s="1" t="s">
        <v>808</v>
      </c>
      <c r="I86" s="1" t="s">
        <v>813</v>
      </c>
      <c r="J86" s="1" t="s">
        <v>112</v>
      </c>
      <c r="K86" s="1" t="s">
        <v>814</v>
      </c>
      <c r="L86" s="1" t="str">
        <f t="shared" si="1"/>
        <v>"The are knowledgeable and explains everything in detail."</v>
      </c>
    </row>
    <row r="87" ht="15.75" customHeight="1">
      <c r="A87" s="7" t="s">
        <v>815</v>
      </c>
      <c r="B87" s="1" t="s">
        <v>816</v>
      </c>
      <c r="C87" s="1" t="s">
        <v>42</v>
      </c>
      <c r="D87" s="8" t="s">
        <v>817</v>
      </c>
      <c r="E87" s="1">
        <v>4.3</v>
      </c>
      <c r="F87" s="13">
        <v>-1293.0</v>
      </c>
      <c r="G87" s="1" t="s">
        <v>86</v>
      </c>
      <c r="H87" s="1" t="s">
        <v>818</v>
      </c>
      <c r="I87" s="1" t="s">
        <v>819</v>
      </c>
      <c r="L87" s="1" t="str">
        <f t="shared" si="1"/>
        <v> </v>
      </c>
    </row>
    <row r="88" ht="15.75" customHeight="1">
      <c r="A88" s="2" t="s">
        <v>42</v>
      </c>
      <c r="B88" s="1" t="s">
        <v>820</v>
      </c>
      <c r="C88" s="1" t="s">
        <v>42</v>
      </c>
      <c r="D88" s="8" t="s">
        <v>821</v>
      </c>
      <c r="E88" s="1">
        <v>4.9</v>
      </c>
      <c r="F88" s="1">
        <v>-35.0</v>
      </c>
      <c r="G88" s="1" t="s">
        <v>51</v>
      </c>
      <c r="H88" s="1" t="s">
        <v>822</v>
      </c>
      <c r="L88" s="1" t="str">
        <f t="shared" si="1"/>
        <v> </v>
      </c>
    </row>
    <row r="89" ht="15.75" customHeight="1">
      <c r="A89" s="7" t="s">
        <v>787</v>
      </c>
      <c r="B89" s="1" t="s">
        <v>782</v>
      </c>
      <c r="C89" s="1" t="s">
        <v>42</v>
      </c>
      <c r="D89" s="8" t="s">
        <v>780</v>
      </c>
      <c r="E89" s="1">
        <v>4.4</v>
      </c>
      <c r="F89" s="1">
        <v>-27.0</v>
      </c>
      <c r="G89" s="1" t="s">
        <v>115</v>
      </c>
      <c r="H89" s="1" t="s">
        <v>785</v>
      </c>
      <c r="I89" s="1" t="s">
        <v>786</v>
      </c>
      <c r="L89" s="1" t="str">
        <f t="shared" si="1"/>
        <v> </v>
      </c>
    </row>
    <row r="90" ht="15.75" customHeight="1">
      <c r="A90" s="7" t="s">
        <v>597</v>
      </c>
      <c r="B90" s="1" t="s">
        <v>593</v>
      </c>
      <c r="C90" s="8" t="s">
        <v>823</v>
      </c>
      <c r="D90" s="8" t="s">
        <v>591</v>
      </c>
      <c r="E90" s="1">
        <v>5.0</v>
      </c>
      <c r="F90" s="1">
        <v>-190.0</v>
      </c>
      <c r="G90" s="1" t="s">
        <v>192</v>
      </c>
      <c r="H90" s="1" t="s">
        <v>595</v>
      </c>
      <c r="I90" s="1" t="s">
        <v>596</v>
      </c>
      <c r="J90" s="1" t="s">
        <v>565</v>
      </c>
      <c r="L90" s="1" t="str">
        <f t="shared" si="1"/>
        <v>"I highly recommend the dr." </v>
      </c>
    </row>
    <row r="91" ht="15.75" customHeight="1">
      <c r="A91" s="7" t="s">
        <v>393</v>
      </c>
      <c r="B91" s="1" t="s">
        <v>388</v>
      </c>
      <c r="C91" s="1" t="s">
        <v>42</v>
      </c>
      <c r="D91" s="8" t="s">
        <v>385</v>
      </c>
      <c r="E91" s="1">
        <v>4.9</v>
      </c>
      <c r="F91" s="1">
        <v>-286.0</v>
      </c>
      <c r="G91" s="1" t="s">
        <v>51</v>
      </c>
      <c r="H91" s="1" t="s">
        <v>390</v>
      </c>
      <c r="I91" s="1" t="s">
        <v>391</v>
      </c>
      <c r="J91" s="1" t="s">
        <v>112</v>
      </c>
      <c r="K91" s="1" t="s">
        <v>378</v>
      </c>
      <c r="L91" s="1" t="str">
        <f t="shared" si="1"/>
        <v>"The is incredibly kind, friendly, and knowledgeable."</v>
      </c>
    </row>
    <row r="92" ht="15.75" customHeight="1">
      <c r="A92" s="2" t="s">
        <v>42</v>
      </c>
      <c r="B92" s="1" t="s">
        <v>436</v>
      </c>
      <c r="C92" s="1" t="s">
        <v>42</v>
      </c>
      <c r="D92" s="8" t="s">
        <v>434</v>
      </c>
      <c r="E92" s="1">
        <v>5.0</v>
      </c>
      <c r="F92" s="1">
        <v>-1.0</v>
      </c>
      <c r="G92" s="1" t="s">
        <v>51</v>
      </c>
      <c r="H92" s="1" t="s">
        <v>437</v>
      </c>
      <c r="I92" s="1" t="s">
        <v>440</v>
      </c>
      <c r="J92" s="1" t="s">
        <v>195</v>
      </c>
      <c r="K92" s="1" t="s">
        <v>421</v>
      </c>
      <c r="L92" s="1" t="str">
        <f t="shared" si="1"/>
        <v>"The staff and were incredibly professional and knowledgeable."</v>
      </c>
    </row>
    <row r="93" ht="15.75" customHeight="1">
      <c r="A93" s="7" t="s">
        <v>743</v>
      </c>
      <c r="B93" s="1" t="s">
        <v>739</v>
      </c>
      <c r="C93" s="8" t="s">
        <v>829</v>
      </c>
      <c r="D93" s="8" t="s">
        <v>738</v>
      </c>
      <c r="E93" s="1">
        <v>4.8</v>
      </c>
      <c r="F93" s="1">
        <v>-459.0</v>
      </c>
      <c r="G93" s="1" t="s">
        <v>740</v>
      </c>
      <c r="H93" s="1" t="s">
        <v>741</v>
      </c>
      <c r="I93" s="1" t="s">
        <v>742</v>
      </c>
      <c r="L93" s="1" t="str">
        <f t="shared" si="1"/>
        <v> </v>
      </c>
    </row>
    <row r="94" ht="15.75" customHeight="1">
      <c r="A94" s="7" t="s">
        <v>830</v>
      </c>
      <c r="B94" s="1" t="s">
        <v>831</v>
      </c>
      <c r="C94" s="8" t="s">
        <v>832</v>
      </c>
      <c r="D94" s="8" t="s">
        <v>834</v>
      </c>
      <c r="E94" s="1">
        <v>4.9</v>
      </c>
      <c r="F94" s="13">
        <v>-1394.0</v>
      </c>
      <c r="G94" s="1" t="s">
        <v>837</v>
      </c>
      <c r="H94" s="1" t="s">
        <v>838</v>
      </c>
      <c r="I94" s="1" t="s">
        <v>839</v>
      </c>
      <c r="J94" s="1" t="s">
        <v>112</v>
      </c>
      <c r="K94" s="1" t="s">
        <v>840</v>
      </c>
      <c r="L94" s="1" t="str">
        <f t="shared" si="1"/>
        <v>"The was gentle and effective."</v>
      </c>
    </row>
    <row r="95" ht="15.75" customHeight="1">
      <c r="A95" s="7" t="s">
        <v>127</v>
      </c>
      <c r="B95" s="1" t="s">
        <v>113</v>
      </c>
      <c r="C95" s="8" t="s">
        <v>842</v>
      </c>
      <c r="D95" s="8" t="s">
        <v>110</v>
      </c>
      <c r="E95" s="1">
        <v>4.8</v>
      </c>
      <c r="F95" s="1">
        <v>-241.0</v>
      </c>
      <c r="G95" s="1" t="s">
        <v>115</v>
      </c>
      <c r="H95" s="1" t="s">
        <v>121</v>
      </c>
      <c r="I95" s="1" t="s">
        <v>123</v>
      </c>
      <c r="J95" s="1" t="s">
        <v>92</v>
      </c>
      <c r="L95" s="1" t="str">
        <f t="shared" si="1"/>
        <v>"The therapists exhibited a remarkable level of expertise and compassion." </v>
      </c>
    </row>
    <row r="96" ht="15.75" customHeight="1">
      <c r="A96" s="2" t="s">
        <v>42</v>
      </c>
      <c r="B96" s="1" t="s">
        <v>351</v>
      </c>
      <c r="C96" s="1" t="s">
        <v>42</v>
      </c>
      <c r="D96" s="8" t="s">
        <v>347</v>
      </c>
      <c r="E96" s="1">
        <v>4.8</v>
      </c>
      <c r="F96" s="1">
        <v>-25.0</v>
      </c>
      <c r="G96" s="1" t="s">
        <v>74</v>
      </c>
      <c r="H96" s="1" t="s">
        <v>352</v>
      </c>
      <c r="I96" s="1" t="s">
        <v>354</v>
      </c>
      <c r="J96" s="1" t="s">
        <v>326</v>
      </c>
      <c r="K96" s="1" t="s">
        <v>329</v>
      </c>
      <c r="L96" s="1" t="str">
        <f t="shared" si="1"/>
        <v>"It’s rare to find a who gives so much attention to patient concerns."</v>
      </c>
    </row>
    <row r="97" ht="15.75" customHeight="1">
      <c r="A97" s="7" t="s">
        <v>431</v>
      </c>
      <c r="B97" s="1" t="s">
        <v>425</v>
      </c>
      <c r="C97" s="8" t="s">
        <v>843</v>
      </c>
      <c r="D97" s="8" t="s">
        <v>422</v>
      </c>
      <c r="E97" s="1">
        <v>4.9</v>
      </c>
      <c r="F97" s="1">
        <v>-118.0</v>
      </c>
      <c r="G97" s="1" t="s">
        <v>330</v>
      </c>
      <c r="H97" s="1" t="s">
        <v>426</v>
      </c>
      <c r="I97" s="1" t="s">
        <v>427</v>
      </c>
      <c r="J97" s="1" t="s">
        <v>400</v>
      </c>
      <c r="K97" s="1" t="s">
        <v>409</v>
      </c>
      <c r="L97" s="1" t="str">
        <f t="shared" si="1"/>
        <v>"This and staff are professional and knowledgeable about hair."</v>
      </c>
    </row>
    <row r="98" ht="15.75" customHeight="1">
      <c r="A98" s="7" t="s">
        <v>572</v>
      </c>
      <c r="B98" s="1" t="s">
        <v>569</v>
      </c>
      <c r="C98" s="8" t="s">
        <v>844</v>
      </c>
      <c r="D98" s="8" t="s">
        <v>566</v>
      </c>
      <c r="E98" s="1">
        <v>4.7</v>
      </c>
      <c r="F98" s="1">
        <v>-409.0</v>
      </c>
      <c r="G98" s="1" t="s">
        <v>322</v>
      </c>
      <c r="H98" s="1" t="s">
        <v>570</v>
      </c>
      <c r="I98" s="1" t="s">
        <v>571</v>
      </c>
      <c r="J98" s="1" t="s">
        <v>527</v>
      </c>
      <c r="L98" s="1" t="str">
        <f t="shared" si="1"/>
        <v>"The advice given was practical, easy to understand, and very well explained." </v>
      </c>
    </row>
    <row r="99" ht="15.75" customHeight="1">
      <c r="A99" s="7" t="s">
        <v>417</v>
      </c>
      <c r="B99" s="1" t="s">
        <v>414</v>
      </c>
      <c r="C99" s="8" t="s">
        <v>848</v>
      </c>
      <c r="D99" s="8" t="s">
        <v>410</v>
      </c>
      <c r="E99" s="1">
        <v>5.0</v>
      </c>
      <c r="F99" s="1">
        <v>-54.0</v>
      </c>
      <c r="G99" s="1" t="s">
        <v>192</v>
      </c>
      <c r="H99" s="1" t="s">
        <v>415</v>
      </c>
      <c r="I99" s="1" t="s">
        <v>416</v>
      </c>
      <c r="J99" s="1" t="s">
        <v>392</v>
      </c>
      <c r="L99" s="1" t="str">
        <f t="shared" si="1"/>
        <v>"Dr Omi knowledgeable and took the time to answer all my questions." </v>
      </c>
    </row>
    <row r="100" ht="15.75" customHeight="1">
      <c r="A100" s="7" t="s">
        <v>828</v>
      </c>
      <c r="B100" s="1" t="s">
        <v>825</v>
      </c>
      <c r="C100" s="8" t="s">
        <v>851</v>
      </c>
      <c r="D100" s="8" t="s">
        <v>824</v>
      </c>
      <c r="E100" s="1">
        <v>4.8</v>
      </c>
      <c r="F100" s="13">
        <v>-2651.0</v>
      </c>
      <c r="G100" s="1" t="s">
        <v>102</v>
      </c>
      <c r="H100" s="1" t="s">
        <v>826</v>
      </c>
      <c r="I100" s="1" t="s">
        <v>827</v>
      </c>
      <c r="J100" s="1" t="s">
        <v>504</v>
      </c>
      <c r="L100" s="1" t="str">
        <f t="shared" si="1"/>
        <v>On-site services </v>
      </c>
    </row>
    <row r="101" ht="15.75" customHeight="1">
      <c r="A101" s="2" t="s">
        <v>42</v>
      </c>
      <c r="B101" s="1" t="s">
        <v>483</v>
      </c>
      <c r="C101" s="1" t="s">
        <v>42</v>
      </c>
      <c r="D101" s="8" t="s">
        <v>478</v>
      </c>
      <c r="E101" s="1">
        <v>5.0</v>
      </c>
      <c r="F101" s="1">
        <v>-11.0</v>
      </c>
      <c r="G101" s="1" t="s">
        <v>102</v>
      </c>
      <c r="H101" s="1" t="s">
        <v>484</v>
      </c>
      <c r="I101" s="1" t="s">
        <v>487</v>
      </c>
      <c r="J101" s="1" t="s">
        <v>454</v>
      </c>
      <c r="K101" s="1" t="s">
        <v>457</v>
      </c>
      <c r="L101" s="1" t="str">
        <f t="shared" si="1"/>
        <v>"Dr Alim Is So Friendly.Her Style is so different ."</v>
      </c>
    </row>
    <row r="102" ht="15.75" customHeight="1">
      <c r="A102" s="7" t="s">
        <v>750</v>
      </c>
      <c r="B102" s="1" t="s">
        <v>746</v>
      </c>
      <c r="C102" s="1" t="s">
        <v>42</v>
      </c>
      <c r="D102" s="8" t="s">
        <v>744</v>
      </c>
      <c r="E102" s="1">
        <v>4.9</v>
      </c>
      <c r="F102" s="1">
        <v>-154.0</v>
      </c>
      <c r="G102" s="1" t="s">
        <v>747</v>
      </c>
      <c r="H102" s="1" t="s">
        <v>748</v>
      </c>
      <c r="I102" s="1" t="s">
        <v>749</v>
      </c>
      <c r="L102" s="1" t="str">
        <f t="shared" si="1"/>
        <v> </v>
      </c>
    </row>
    <row r="103" ht="15.75" customHeight="1">
      <c r="A103" s="2" t="s">
        <v>42</v>
      </c>
      <c r="B103" s="1" t="s">
        <v>135</v>
      </c>
      <c r="C103" s="1" t="s">
        <v>42</v>
      </c>
      <c r="D103" s="8" t="s">
        <v>133</v>
      </c>
      <c r="E103" s="1">
        <v>5.0</v>
      </c>
      <c r="F103" s="1">
        <v>-20.0</v>
      </c>
      <c r="G103" s="1" t="s">
        <v>136</v>
      </c>
      <c r="H103" s="1" t="s">
        <v>137</v>
      </c>
      <c r="I103" s="1" t="s">
        <v>138</v>
      </c>
      <c r="J103" s="1" t="s">
        <v>108</v>
      </c>
      <c r="L103" s="1" t="str">
        <f t="shared" si="1"/>
        <v>"He's very polite and doesn't make you feel like a patient." </v>
      </c>
    </row>
    <row r="104" ht="15.75" customHeight="1">
      <c r="A104" s="2" t="s">
        <v>42</v>
      </c>
      <c r="B104" s="1" t="s">
        <v>451</v>
      </c>
      <c r="C104" s="1" t="s">
        <v>42</v>
      </c>
      <c r="D104" s="8" t="s">
        <v>448</v>
      </c>
      <c r="E104" s="1">
        <v>5.0</v>
      </c>
      <c r="F104" s="1">
        <v>-26.0</v>
      </c>
      <c r="G104" s="1" t="s">
        <v>51</v>
      </c>
      <c r="H104" s="1" t="s">
        <v>452</v>
      </c>
      <c r="I104" s="1" t="s">
        <v>453</v>
      </c>
      <c r="J104" s="1" t="s">
        <v>112</v>
      </c>
      <c r="K104" s="1" t="s">
        <v>433</v>
      </c>
      <c r="L104" s="1" t="str">
        <f t="shared" si="1"/>
        <v>"The is modern, hygienic, and equipped with the latest technology."</v>
      </c>
    </row>
    <row r="105" ht="15.75" customHeight="1">
      <c r="A105" s="2" t="s">
        <v>42</v>
      </c>
      <c r="B105" s="1" t="s">
        <v>853</v>
      </c>
      <c r="C105" s="1" t="s">
        <v>42</v>
      </c>
      <c r="D105" s="8" t="s">
        <v>854</v>
      </c>
      <c r="G105" s="1" t="s">
        <v>51</v>
      </c>
      <c r="H105" s="1" t="s">
        <v>855</v>
      </c>
      <c r="I105" s="1" t="s">
        <v>856</v>
      </c>
      <c r="J105" s="1" t="s">
        <v>112</v>
      </c>
      <c r="K105" s="1" t="s">
        <v>857</v>
      </c>
      <c r="L105" s="1" t="str">
        <f t="shared" si="1"/>
        <v>"The is clean, well-organized, and the staff is very professional."</v>
      </c>
    </row>
    <row r="106" ht="15.75" customHeight="1">
      <c r="A106" s="2" t="s">
        <v>42</v>
      </c>
      <c r="B106" s="1" t="s">
        <v>706</v>
      </c>
      <c r="C106" s="1" t="s">
        <v>42</v>
      </c>
      <c r="D106" s="8" t="s">
        <v>705</v>
      </c>
      <c r="E106" s="1">
        <v>5.0</v>
      </c>
      <c r="F106" s="1">
        <v>-53.0</v>
      </c>
      <c r="G106" s="1" t="s">
        <v>708</v>
      </c>
      <c r="H106" s="1" t="s">
        <v>710</v>
      </c>
      <c r="I106" s="1" t="s">
        <v>711</v>
      </c>
      <c r="J106" s="1" t="s">
        <v>112</v>
      </c>
      <c r="K106" s="1" t="s">
        <v>683</v>
      </c>
      <c r="L106" s="1" t="str">
        <f t="shared" si="1"/>
        <v>"The is very clean and well-maintained."</v>
      </c>
    </row>
    <row r="107" ht="15.75" customHeight="1">
      <c r="A107" s="2" t="s">
        <v>42</v>
      </c>
      <c r="B107" s="1" t="s">
        <v>846</v>
      </c>
      <c r="C107" s="1" t="s">
        <v>42</v>
      </c>
      <c r="D107" s="8" t="s">
        <v>845</v>
      </c>
      <c r="E107" s="1">
        <v>4.7</v>
      </c>
      <c r="F107" s="1">
        <v>-10.0</v>
      </c>
      <c r="G107" s="1" t="s">
        <v>847</v>
      </c>
      <c r="H107" s="1" t="s">
        <v>849</v>
      </c>
      <c r="I107" s="1" t="s">
        <v>850</v>
      </c>
      <c r="J107" s="1" t="s">
        <v>835</v>
      </c>
      <c r="K107" s="1" t="s">
        <v>836</v>
      </c>
      <c r="L107" s="1" t="str">
        <f t="shared" si="1"/>
        <v>"Support staff at is also helpful."</v>
      </c>
    </row>
    <row r="108" ht="15.75" customHeight="1">
      <c r="A108" s="7" t="s">
        <v>198</v>
      </c>
      <c r="B108" s="1" t="s">
        <v>191</v>
      </c>
      <c r="C108" s="8" t="s">
        <v>860</v>
      </c>
      <c r="D108" s="8" t="s">
        <v>190</v>
      </c>
      <c r="E108" s="1">
        <v>4.9</v>
      </c>
      <c r="F108" s="1">
        <v>-283.0</v>
      </c>
      <c r="G108" s="1" t="s">
        <v>192</v>
      </c>
      <c r="H108" s="1" t="s">
        <v>193</v>
      </c>
      <c r="I108" s="1" t="s">
        <v>194</v>
      </c>
      <c r="J108" s="1" t="s">
        <v>173</v>
      </c>
      <c r="K108" s="1" t="s">
        <v>177</v>
      </c>
      <c r="L108" s="1" t="str">
        <f t="shared" si="1"/>
        <v>"The diagnosis and were spot on."</v>
      </c>
    </row>
    <row r="109" ht="15.75" customHeight="1">
      <c r="A109" s="7" t="s">
        <v>219</v>
      </c>
      <c r="B109" s="1" t="s">
        <v>212</v>
      </c>
      <c r="C109" s="8" t="s">
        <v>867</v>
      </c>
      <c r="D109" s="8" t="s">
        <v>209</v>
      </c>
      <c r="E109" s="1">
        <v>4.6</v>
      </c>
      <c r="F109" s="1">
        <v>-291.0</v>
      </c>
      <c r="G109" s="1" t="s">
        <v>192</v>
      </c>
      <c r="H109" s="1" t="s">
        <v>214</v>
      </c>
      <c r="I109" s="1" t="s">
        <v>215</v>
      </c>
      <c r="J109" s="1" t="s">
        <v>196</v>
      </c>
      <c r="K109" s="1" t="s">
        <v>200</v>
      </c>
      <c r="L109" s="1" t="str">
        <f t="shared" si="1"/>
        <v>"The care, , and ambience here are truly comforting."</v>
      </c>
    </row>
    <row r="110" ht="15.75" customHeight="1">
      <c r="A110" s="7" t="s">
        <v>327</v>
      </c>
      <c r="B110" s="1" t="s">
        <v>321</v>
      </c>
      <c r="C110" s="8" t="s">
        <v>869</v>
      </c>
      <c r="D110" s="8" t="s">
        <v>318</v>
      </c>
      <c r="E110" s="1">
        <v>4.9</v>
      </c>
      <c r="F110" s="1">
        <v>-130.0</v>
      </c>
      <c r="G110" s="1" t="s">
        <v>322</v>
      </c>
      <c r="H110" s="1" t="s">
        <v>323</v>
      </c>
      <c r="I110" s="1" t="s">
        <v>325</v>
      </c>
      <c r="J110" s="1" t="s">
        <v>296</v>
      </c>
      <c r="K110" s="1" t="s">
        <v>302</v>
      </c>
      <c r="L110" s="1" t="str">
        <f t="shared" si="1"/>
        <v>"Great , clean facilities, friendly staff."</v>
      </c>
    </row>
    <row r="111" ht="15.75" customHeight="1">
      <c r="A111" s="7" t="s">
        <v>777</v>
      </c>
      <c r="B111" s="1" t="s">
        <v>774</v>
      </c>
      <c r="C111" s="8" t="s">
        <v>873</v>
      </c>
      <c r="D111" s="8" t="s">
        <v>773</v>
      </c>
      <c r="E111" s="1">
        <v>4.8</v>
      </c>
      <c r="F111" s="1">
        <v>-155.0</v>
      </c>
      <c r="G111" s="1" t="s">
        <v>102</v>
      </c>
      <c r="H111" s="1" t="s">
        <v>775</v>
      </c>
      <c r="I111" s="1" t="s">
        <v>776</v>
      </c>
      <c r="J111" s="1" t="s">
        <v>504</v>
      </c>
      <c r="L111" s="1" t="str">
        <f t="shared" si="1"/>
        <v>On-site services </v>
      </c>
    </row>
    <row r="112" ht="15.75" customHeight="1">
      <c r="A112" s="7" t="s">
        <v>402</v>
      </c>
      <c r="B112" s="1" t="s">
        <v>397</v>
      </c>
      <c r="C112" s="8" t="s">
        <v>874</v>
      </c>
      <c r="D112" s="8" t="s">
        <v>394</v>
      </c>
      <c r="E112" s="1">
        <v>4.6</v>
      </c>
      <c r="F112" s="1">
        <v>-131.0</v>
      </c>
      <c r="G112" s="1" t="s">
        <v>322</v>
      </c>
      <c r="H112" s="1" t="s">
        <v>398</v>
      </c>
      <c r="I112" s="1" t="s">
        <v>399</v>
      </c>
      <c r="L112" s="1" t="str">
        <f t="shared" si="1"/>
        <v> </v>
      </c>
    </row>
    <row r="113" ht="15.75" customHeight="1">
      <c r="A113" s="7" t="s">
        <v>663</v>
      </c>
      <c r="B113" s="1" t="s">
        <v>659</v>
      </c>
      <c r="C113" s="8" t="s">
        <v>876</v>
      </c>
      <c r="D113" s="8" t="s">
        <v>658</v>
      </c>
      <c r="E113" s="1">
        <v>4.9</v>
      </c>
      <c r="F113" s="1">
        <v>-44.0</v>
      </c>
      <c r="G113" s="1" t="s">
        <v>470</v>
      </c>
      <c r="H113" s="1" t="s">
        <v>660</v>
      </c>
      <c r="I113" s="1" t="s">
        <v>661</v>
      </c>
      <c r="J113" s="1" t="s">
        <v>633</v>
      </c>
      <c r="L113" s="1" t="str">
        <f t="shared" si="1"/>
        <v>"Treated me for my migrain issues effectively." </v>
      </c>
    </row>
    <row r="114" ht="15.75" customHeight="1">
      <c r="A114" s="7" t="s">
        <v>877</v>
      </c>
      <c r="B114" s="1" t="s">
        <v>878</v>
      </c>
      <c r="C114" s="8" t="s">
        <v>879</v>
      </c>
      <c r="D114" s="8" t="s">
        <v>881</v>
      </c>
      <c r="E114" s="1">
        <v>5.0</v>
      </c>
      <c r="F114" s="1">
        <v>-35.0</v>
      </c>
      <c r="G114" s="1" t="s">
        <v>308</v>
      </c>
      <c r="H114" s="1" t="s">
        <v>882</v>
      </c>
      <c r="I114" s="1" t="s">
        <v>883</v>
      </c>
      <c r="J114" s="1" t="s">
        <v>871</v>
      </c>
      <c r="K114" s="1" t="s">
        <v>872</v>
      </c>
      <c r="L114" s="1" t="str">
        <f t="shared" si="1"/>
        <v>"Really wonderful and the counselling sessions are useful!"</v>
      </c>
    </row>
    <row r="115" ht="15.75" customHeight="1">
      <c r="A115" s="2" t="s">
        <v>42</v>
      </c>
      <c r="B115" s="1" t="s">
        <v>464</v>
      </c>
      <c r="C115" s="1" t="s">
        <v>42</v>
      </c>
      <c r="D115" s="8" t="s">
        <v>460</v>
      </c>
      <c r="E115" s="1">
        <v>4.6</v>
      </c>
      <c r="F115" s="1">
        <v>-67.0</v>
      </c>
      <c r="G115" s="1" t="s">
        <v>466</v>
      </c>
      <c r="H115" s="1" t="s">
        <v>467</v>
      </c>
      <c r="I115" s="1" t="s">
        <v>468</v>
      </c>
      <c r="L115" s="1" t="str">
        <f t="shared" si="1"/>
        <v> </v>
      </c>
    </row>
    <row r="116" ht="15.75" customHeight="1">
      <c r="A116" s="7" t="s">
        <v>287</v>
      </c>
      <c r="B116" s="1" t="s">
        <v>277</v>
      </c>
      <c r="C116" s="8" t="s">
        <v>886</v>
      </c>
      <c r="D116" s="8" t="s">
        <v>275</v>
      </c>
      <c r="E116" s="1">
        <v>4.1</v>
      </c>
      <c r="F116" s="13">
        <v>-1737.0</v>
      </c>
      <c r="G116" s="1" t="s">
        <v>278</v>
      </c>
      <c r="H116" s="1" t="s">
        <v>282</v>
      </c>
      <c r="I116" s="1" t="s">
        <v>284</v>
      </c>
      <c r="L116" s="1" t="str">
        <f t="shared" si="1"/>
        <v> </v>
      </c>
    </row>
    <row r="117" ht="15.75" customHeight="1">
      <c r="A117" s="7" t="s">
        <v>764</v>
      </c>
      <c r="B117" s="1" t="s">
        <v>761</v>
      </c>
      <c r="C117" s="1" t="s">
        <v>42</v>
      </c>
      <c r="D117" s="8" t="s">
        <v>760</v>
      </c>
      <c r="E117" s="1">
        <v>4.9</v>
      </c>
      <c r="F117" s="1">
        <v>-96.0</v>
      </c>
      <c r="G117" s="1" t="s">
        <v>51</v>
      </c>
      <c r="H117" s="1" t="s">
        <v>762</v>
      </c>
      <c r="I117" s="1" t="s">
        <v>763</v>
      </c>
      <c r="J117" s="1" t="s">
        <v>504</v>
      </c>
      <c r="L117" s="1" t="str">
        <f t="shared" si="1"/>
        <v>On-site services </v>
      </c>
    </row>
    <row r="118" ht="15.75" customHeight="1">
      <c r="A118" s="2" t="s">
        <v>42</v>
      </c>
      <c r="B118" s="1" t="s">
        <v>576</v>
      </c>
      <c r="C118" s="1" t="s">
        <v>42</v>
      </c>
      <c r="D118" s="8" t="s">
        <v>575</v>
      </c>
      <c r="E118" s="1">
        <v>4.9</v>
      </c>
      <c r="F118" s="1">
        <v>-42.0</v>
      </c>
      <c r="G118" s="1" t="s">
        <v>322</v>
      </c>
      <c r="H118" s="1" t="s">
        <v>577</v>
      </c>
      <c r="L118" s="1" t="str">
        <f t="shared" si="1"/>
        <v> </v>
      </c>
    </row>
    <row r="119" ht="15.75" customHeight="1">
      <c r="A119" s="2" t="s">
        <v>42</v>
      </c>
      <c r="B119" s="1" t="s">
        <v>768</v>
      </c>
      <c r="C119" s="1" t="s">
        <v>42</v>
      </c>
      <c r="D119" s="8" t="s">
        <v>767</v>
      </c>
      <c r="E119" s="1">
        <v>5.0</v>
      </c>
      <c r="F119" s="1">
        <v>-115.0</v>
      </c>
      <c r="G119" s="1" t="s">
        <v>192</v>
      </c>
      <c r="H119" s="1" t="s">
        <v>769</v>
      </c>
      <c r="I119" s="1" t="s">
        <v>771</v>
      </c>
      <c r="J119" s="1" t="s">
        <v>504</v>
      </c>
      <c r="L119" s="1" t="str">
        <f t="shared" si="1"/>
        <v>On-site services </v>
      </c>
    </row>
    <row r="120" ht="15.75" customHeight="1">
      <c r="A120" s="7" t="s">
        <v>887</v>
      </c>
      <c r="B120" s="1" t="s">
        <v>888</v>
      </c>
      <c r="C120" s="8" t="s">
        <v>889</v>
      </c>
      <c r="D120" s="8" t="s">
        <v>890</v>
      </c>
      <c r="E120" s="1">
        <v>4.5</v>
      </c>
      <c r="F120" s="1">
        <v>-206.0</v>
      </c>
      <c r="G120" s="1" t="s">
        <v>892</v>
      </c>
      <c r="H120" s="1" t="s">
        <v>893</v>
      </c>
      <c r="I120" s="1" t="s">
        <v>894</v>
      </c>
      <c r="L120" s="1" t="str">
        <f t="shared" si="1"/>
        <v> </v>
      </c>
    </row>
    <row r="121" ht="15.75" customHeight="1">
      <c r="A121" s="2"/>
      <c r="B121" s="1" t="s">
        <v>269</v>
      </c>
      <c r="C121" s="8" t="s">
        <v>889</v>
      </c>
      <c r="D121" s="8" t="s">
        <v>264</v>
      </c>
      <c r="E121" s="1">
        <v>5.0</v>
      </c>
      <c r="F121" s="1">
        <v>-23.0</v>
      </c>
      <c r="G121" s="1" t="s">
        <v>192</v>
      </c>
      <c r="H121" s="1" t="s">
        <v>270</v>
      </c>
      <c r="I121" s="1" t="s">
        <v>273</v>
      </c>
      <c r="J121" s="1" t="s">
        <v>112</v>
      </c>
      <c r="K121" s="1" t="s">
        <v>258</v>
      </c>
      <c r="L121" s="1" t="str">
        <f t="shared" si="1"/>
        <v>"The is clean, professional, and truly focused on patient recovery."</v>
      </c>
    </row>
    <row r="122" ht="15.75" customHeight="1">
      <c r="A122" s="2"/>
      <c r="L122" s="1" t="str">
        <f t="shared" si="1"/>
        <v> </v>
      </c>
    </row>
    <row r="123" ht="15.75" customHeight="1">
      <c r="A123" s="2"/>
      <c r="J123" s="1" t="s">
        <v>895</v>
      </c>
      <c r="K123" s="1" t="s">
        <v>896</v>
      </c>
      <c r="L123" s="1" t="str">
        <f t="shared" si="1"/>
        <v>"my was done painlessly and now wi got my fix teeth."</v>
      </c>
    </row>
    <row r="124" ht="15.75" customHeight="1">
      <c r="A124" s="2"/>
      <c r="J124" s="1" t="s">
        <v>897</v>
      </c>
      <c r="K124" s="1" t="s">
        <v>898</v>
      </c>
      <c r="L124" s="1" t="str">
        <f t="shared" si="1"/>
        <v>"I was able to overcome my fear of dental and felt in safe hands."</v>
      </c>
    </row>
    <row r="125" ht="15.75" customHeight="1">
      <c r="A125" s="2"/>
      <c r="J125" s="1" t="s">
        <v>899</v>
      </c>
      <c r="L125" s="1" t="str">
        <f t="shared" si="1"/>
        <v>"The staff is compassionate, attentive, and highly professional." </v>
      </c>
    </row>
    <row r="126" ht="15.75" customHeight="1">
      <c r="A126" s="2"/>
      <c r="J126" s="1" t="s">
        <v>900</v>
      </c>
      <c r="L126" s="1" t="str">
        <f t="shared" si="1"/>
        <v>"The staff is very professional and the therapist have a great hand." </v>
      </c>
    </row>
    <row r="127" ht="15.75" customHeight="1">
      <c r="A127" s="2"/>
      <c r="J127" s="1" t="s">
        <v>901</v>
      </c>
      <c r="K127" s="1" t="s">
        <v>481</v>
      </c>
      <c r="L127" s="1" t="str">
        <f t="shared" si="1"/>
        <v>"One of the finest, in terms of communication, care and ."</v>
      </c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D2"/>
    <hyperlink r:id="rId3" ref="A3"/>
    <hyperlink r:id="rId4" ref="C3"/>
    <hyperlink r:id="rId5" ref="D3"/>
    <hyperlink r:id="rId6" ref="A4"/>
    <hyperlink r:id="rId7" ref="C4"/>
    <hyperlink r:id="rId8" ref="D4"/>
    <hyperlink r:id="rId9" ref="D5"/>
    <hyperlink r:id="rId10" ref="D6"/>
    <hyperlink r:id="rId11" ref="A7"/>
    <hyperlink r:id="rId12" ref="C7"/>
    <hyperlink r:id="rId13" ref="D7"/>
    <hyperlink r:id="rId14" ref="A8"/>
    <hyperlink r:id="rId15" ref="C8"/>
    <hyperlink r:id="rId16" ref="D8"/>
    <hyperlink r:id="rId17" ref="D9"/>
    <hyperlink r:id="rId18" ref="A10"/>
    <hyperlink r:id="rId19" ref="C10"/>
    <hyperlink r:id="rId20" ref="D10"/>
    <hyperlink r:id="rId21" ref="A11"/>
    <hyperlink r:id="rId22" ref="C11"/>
    <hyperlink r:id="rId23" ref="D11"/>
    <hyperlink r:id="rId24" ref="A12"/>
    <hyperlink r:id="rId25" ref="C12"/>
    <hyperlink r:id="rId26" ref="D12"/>
    <hyperlink r:id="rId27" ref="A13"/>
    <hyperlink r:id="rId28" ref="D13"/>
    <hyperlink r:id="rId29" ref="D14"/>
    <hyperlink r:id="rId30" ref="A15"/>
    <hyperlink r:id="rId31" ref="C15"/>
    <hyperlink r:id="rId32" ref="D15"/>
    <hyperlink r:id="rId33" ref="A16"/>
    <hyperlink r:id="rId34" ref="C16"/>
    <hyperlink r:id="rId35" ref="D16"/>
    <hyperlink r:id="rId36" ref="A17"/>
    <hyperlink r:id="rId37" ref="D17"/>
    <hyperlink r:id="rId38" ref="A18"/>
    <hyperlink r:id="rId39" ref="C18"/>
    <hyperlink r:id="rId40" ref="D18"/>
    <hyperlink r:id="rId41" ref="A19"/>
    <hyperlink r:id="rId42" ref="C19"/>
    <hyperlink r:id="rId43" ref="D19"/>
    <hyperlink r:id="rId44" ref="A20"/>
    <hyperlink r:id="rId45" ref="C20"/>
    <hyperlink r:id="rId46" ref="D20"/>
    <hyperlink r:id="rId47" ref="A21"/>
    <hyperlink r:id="rId48" ref="C21"/>
    <hyperlink r:id="rId49" ref="D21"/>
    <hyperlink r:id="rId50" ref="A22"/>
    <hyperlink r:id="rId51" ref="C22"/>
    <hyperlink r:id="rId52" ref="D22"/>
    <hyperlink r:id="rId53" ref="A23"/>
    <hyperlink r:id="rId54" ref="D23"/>
    <hyperlink r:id="rId55" ref="D24"/>
    <hyperlink r:id="rId56" ref="A25"/>
    <hyperlink r:id="rId57" ref="C25"/>
    <hyperlink r:id="rId58" ref="D25"/>
    <hyperlink r:id="rId59" ref="A26"/>
    <hyperlink r:id="rId60" ref="C26"/>
    <hyperlink r:id="rId61" ref="D26"/>
    <hyperlink r:id="rId62" ref="D27"/>
    <hyperlink r:id="rId63" ref="A28"/>
    <hyperlink r:id="rId64" ref="C28"/>
    <hyperlink r:id="rId65" ref="D28"/>
    <hyperlink r:id="rId66" ref="A29"/>
    <hyperlink r:id="rId67" ref="D29"/>
    <hyperlink r:id="rId68" ref="A30"/>
    <hyperlink r:id="rId69" ref="C30"/>
    <hyperlink r:id="rId70" ref="D30"/>
    <hyperlink r:id="rId71" ref="A31"/>
    <hyperlink r:id="rId72" ref="D31"/>
    <hyperlink r:id="rId73" ref="A32"/>
    <hyperlink r:id="rId74" ref="D32"/>
    <hyperlink r:id="rId75" ref="D33"/>
    <hyperlink r:id="rId76" ref="A34"/>
    <hyperlink r:id="rId77" ref="C34"/>
    <hyperlink r:id="rId78" ref="D34"/>
    <hyperlink r:id="rId79" ref="D35"/>
    <hyperlink r:id="rId80" ref="D36"/>
    <hyperlink r:id="rId81" ref="A37"/>
    <hyperlink r:id="rId82" ref="C37"/>
    <hyperlink r:id="rId83" ref="D37"/>
    <hyperlink r:id="rId84" ref="D38"/>
    <hyperlink r:id="rId85" ref="A39"/>
    <hyperlink r:id="rId86" ref="C39"/>
    <hyperlink r:id="rId87" ref="D39"/>
    <hyperlink r:id="rId88" ref="D40"/>
    <hyperlink r:id="rId89" ref="A41"/>
    <hyperlink r:id="rId90" ref="D41"/>
    <hyperlink r:id="rId91" ref="A42"/>
    <hyperlink r:id="rId92" ref="D42"/>
    <hyperlink r:id="rId93" ref="D43"/>
    <hyperlink r:id="rId94" ref="D44"/>
    <hyperlink r:id="rId95" ref="A45"/>
    <hyperlink r:id="rId96" ref="C45"/>
    <hyperlink r:id="rId97" ref="D45"/>
    <hyperlink r:id="rId98" ref="D46"/>
    <hyperlink r:id="rId99" ref="A47"/>
    <hyperlink r:id="rId100" ref="D47"/>
    <hyperlink r:id="rId101" ref="A48"/>
    <hyperlink r:id="rId102" ref="C48"/>
    <hyperlink r:id="rId103" ref="D48"/>
    <hyperlink r:id="rId104" ref="A49"/>
    <hyperlink r:id="rId105" ref="C49"/>
    <hyperlink r:id="rId106" ref="D49"/>
    <hyperlink r:id="rId107" ref="A50"/>
    <hyperlink r:id="rId108" ref="D50"/>
    <hyperlink r:id="rId109" ref="A51"/>
    <hyperlink r:id="rId110" ref="D51"/>
    <hyperlink r:id="rId111" ref="A52"/>
    <hyperlink r:id="rId112" ref="D52"/>
    <hyperlink r:id="rId113" ref="C53"/>
    <hyperlink r:id="rId114" ref="D53"/>
    <hyperlink r:id="rId115" ref="A54"/>
    <hyperlink r:id="rId116" ref="C54"/>
    <hyperlink r:id="rId117" ref="D54"/>
    <hyperlink r:id="rId118" ref="A55"/>
    <hyperlink r:id="rId119" ref="D55"/>
    <hyperlink r:id="rId120" ref="D56"/>
    <hyperlink r:id="rId121" ref="A57"/>
    <hyperlink r:id="rId122" ref="D57"/>
    <hyperlink r:id="rId123" ref="A58"/>
    <hyperlink r:id="rId124" ref="D58"/>
    <hyperlink r:id="rId125" ref="D59"/>
    <hyperlink r:id="rId126" ref="A60"/>
    <hyperlink r:id="rId127" ref="C60"/>
    <hyperlink r:id="rId128" ref="D60"/>
    <hyperlink r:id="rId129" ref="A61"/>
    <hyperlink r:id="rId130" ref="D61"/>
    <hyperlink r:id="rId131" ref="A62"/>
    <hyperlink r:id="rId132" ref="C62"/>
    <hyperlink r:id="rId133" ref="D62"/>
    <hyperlink r:id="rId134" ref="A63"/>
    <hyperlink r:id="rId135" ref="C63"/>
    <hyperlink r:id="rId136" ref="D63"/>
    <hyperlink r:id="rId137" ref="A64"/>
    <hyperlink r:id="rId138" ref="C64"/>
    <hyperlink r:id="rId139" ref="D64"/>
    <hyperlink r:id="rId140" ref="D65"/>
    <hyperlink r:id="rId141" ref="D66"/>
    <hyperlink r:id="rId142" ref="A67"/>
    <hyperlink r:id="rId143" ref="D67"/>
    <hyperlink r:id="rId144" ref="D68"/>
    <hyperlink r:id="rId145" ref="A69"/>
    <hyperlink r:id="rId146" ref="C69"/>
    <hyperlink r:id="rId147" ref="D69"/>
    <hyperlink r:id="rId148" ref="A70"/>
    <hyperlink r:id="rId149" ref="D70"/>
    <hyperlink r:id="rId150" ref="A71"/>
    <hyperlink r:id="rId151" ref="C71"/>
    <hyperlink r:id="rId152" ref="D71"/>
    <hyperlink r:id="rId153" ref="D72"/>
    <hyperlink r:id="rId154" ref="A73"/>
    <hyperlink r:id="rId155" ref="C73"/>
    <hyperlink r:id="rId156" ref="D73"/>
    <hyperlink r:id="rId157" ref="A74"/>
    <hyperlink r:id="rId158" ref="C74"/>
    <hyperlink r:id="rId159" ref="D74"/>
    <hyperlink r:id="rId160" ref="D75"/>
    <hyperlink r:id="rId161" ref="D76"/>
    <hyperlink r:id="rId162" ref="D77"/>
    <hyperlink r:id="rId163" ref="A78"/>
    <hyperlink r:id="rId164" ref="C78"/>
    <hyperlink r:id="rId165" ref="D78"/>
    <hyperlink r:id="rId166" ref="A79"/>
    <hyperlink r:id="rId167" ref="C79"/>
    <hyperlink r:id="rId168" ref="D79"/>
    <hyperlink r:id="rId169" ref="D80"/>
    <hyperlink r:id="rId170" ref="D81"/>
    <hyperlink r:id="rId171" ref="A82"/>
    <hyperlink r:id="rId172" ref="C82"/>
    <hyperlink r:id="rId173" ref="D82"/>
    <hyperlink r:id="rId174" ref="A83"/>
    <hyperlink r:id="rId175" ref="D83"/>
    <hyperlink r:id="rId176" ref="A84"/>
    <hyperlink r:id="rId177" ref="D84"/>
    <hyperlink r:id="rId178" ref="A85"/>
    <hyperlink r:id="rId179" ref="D85"/>
    <hyperlink r:id="rId180" ref="A86"/>
    <hyperlink r:id="rId181" ref="C86"/>
    <hyperlink r:id="rId182" ref="D86"/>
    <hyperlink r:id="rId183" ref="A87"/>
    <hyperlink r:id="rId184" ref="D87"/>
    <hyperlink r:id="rId185" ref="D88"/>
    <hyperlink r:id="rId186" ref="A89"/>
    <hyperlink r:id="rId187" ref="D89"/>
    <hyperlink r:id="rId188" ref="A90"/>
    <hyperlink r:id="rId189" ref="C90"/>
    <hyperlink r:id="rId190" ref="D90"/>
    <hyperlink r:id="rId191" ref="A91"/>
    <hyperlink r:id="rId192" ref="D91"/>
    <hyperlink r:id="rId193" ref="D92"/>
    <hyperlink r:id="rId194" ref="A93"/>
    <hyperlink r:id="rId195" ref="C93"/>
    <hyperlink r:id="rId196" ref="D93"/>
    <hyperlink r:id="rId197" ref="A94"/>
    <hyperlink r:id="rId198" ref="C94"/>
    <hyperlink r:id="rId199" ref="D94"/>
    <hyperlink r:id="rId200" ref="A95"/>
    <hyperlink r:id="rId201" ref="C95"/>
    <hyperlink r:id="rId202" ref="D95"/>
    <hyperlink r:id="rId203" ref="D96"/>
    <hyperlink r:id="rId204" ref="A97"/>
    <hyperlink r:id="rId205" ref="C97"/>
    <hyperlink r:id="rId206" ref="D97"/>
    <hyperlink r:id="rId207" ref="A98"/>
    <hyperlink r:id="rId208" ref="C98"/>
    <hyperlink r:id="rId209" ref="D98"/>
    <hyperlink r:id="rId210" ref="A99"/>
    <hyperlink r:id="rId211" ref="C99"/>
    <hyperlink r:id="rId212" ref="D99"/>
    <hyperlink r:id="rId213" ref="A100"/>
    <hyperlink r:id="rId214" ref="C100"/>
    <hyperlink r:id="rId215" ref="D100"/>
    <hyperlink r:id="rId216" ref="D101"/>
    <hyperlink r:id="rId217" ref="A102"/>
    <hyperlink r:id="rId218" ref="D102"/>
    <hyperlink r:id="rId219" ref="D103"/>
    <hyperlink r:id="rId220" ref="D104"/>
    <hyperlink r:id="rId221" ref="D105"/>
    <hyperlink r:id="rId222" ref="D106"/>
    <hyperlink r:id="rId223" ref="D107"/>
    <hyperlink r:id="rId224" ref="A108"/>
    <hyperlink r:id="rId225" ref="C108"/>
    <hyperlink r:id="rId226" ref="D108"/>
    <hyperlink r:id="rId227" ref="A109"/>
    <hyperlink r:id="rId228" ref="C109"/>
    <hyperlink r:id="rId229" ref="D109"/>
    <hyperlink r:id="rId230" ref="A110"/>
    <hyperlink r:id="rId231" ref="C110"/>
    <hyperlink r:id="rId232" ref="D110"/>
    <hyperlink r:id="rId233" ref="A111"/>
    <hyperlink r:id="rId234" ref="C111"/>
    <hyperlink r:id="rId235" ref="D111"/>
    <hyperlink r:id="rId236" ref="A112"/>
    <hyperlink r:id="rId237" ref="C112"/>
    <hyperlink r:id="rId238" ref="D112"/>
    <hyperlink r:id="rId239" ref="A113"/>
    <hyperlink r:id="rId240" ref="C113"/>
    <hyperlink r:id="rId241" ref="D113"/>
    <hyperlink r:id="rId242" ref="A114"/>
    <hyperlink r:id="rId243" ref="C114"/>
    <hyperlink r:id="rId244" ref="D114"/>
    <hyperlink r:id="rId245" ref="D115"/>
    <hyperlink r:id="rId246" ref="A116"/>
    <hyperlink r:id="rId247" ref="C116"/>
    <hyperlink r:id="rId248" ref="D116"/>
    <hyperlink r:id="rId249" ref="A117"/>
    <hyperlink r:id="rId250" ref="D117"/>
    <hyperlink r:id="rId251" ref="D118"/>
    <hyperlink r:id="rId252" ref="D119"/>
    <hyperlink r:id="rId253" ref="A120"/>
    <hyperlink r:id="rId254" ref="C120"/>
    <hyperlink r:id="rId255" ref="D120"/>
    <hyperlink r:id="rId256" ref="C121"/>
    <hyperlink r:id="rId257" ref="D121"/>
  </hyperlinks>
  <drawing r:id="rId2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6.63"/>
    <col customWidth="1" min="4" max="4" width="485.88"/>
    <col customWidth="1" min="5" max="5" width="5.88"/>
    <col customWidth="1" min="6" max="6" width="7.25"/>
    <col customWidth="1" min="8" max="8" width="104.25"/>
    <col customWidth="1" min="9" max="9" width="15.25"/>
  </cols>
  <sheetData>
    <row r="1">
      <c r="A1" s="10" t="s">
        <v>2</v>
      </c>
      <c r="B1" s="10" t="s">
        <v>8</v>
      </c>
      <c r="C1" s="10" t="s">
        <v>11</v>
      </c>
      <c r="D1" s="10" t="s">
        <v>13</v>
      </c>
      <c r="E1" s="10" t="s">
        <v>15</v>
      </c>
      <c r="F1" s="10" t="s">
        <v>17</v>
      </c>
      <c r="G1" s="10" t="s">
        <v>19</v>
      </c>
      <c r="H1" s="10" t="s">
        <v>21</v>
      </c>
      <c r="I1" s="10" t="s">
        <v>23</v>
      </c>
      <c r="J1" s="10" t="s">
        <v>29</v>
      </c>
      <c r="K1" s="10" t="s">
        <v>70</v>
      </c>
      <c r="L1" s="10" t="s">
        <v>71</v>
      </c>
    </row>
    <row r="2">
      <c r="A2" s="11" t="s">
        <v>32</v>
      </c>
      <c r="B2" s="12" t="s">
        <v>40</v>
      </c>
      <c r="C2" s="12" t="s">
        <v>42</v>
      </c>
      <c r="D2" s="11" t="s">
        <v>43</v>
      </c>
      <c r="E2" s="14">
        <v>5.0</v>
      </c>
      <c r="F2" s="12">
        <v>152.0</v>
      </c>
      <c r="G2" s="12" t="s">
        <v>51</v>
      </c>
      <c r="H2" s="12" t="s">
        <v>62</v>
      </c>
      <c r="J2" s="15"/>
      <c r="K2" s="12" t="s">
        <v>98</v>
      </c>
      <c r="L2" s="12" t="s">
        <v>100</v>
      </c>
    </row>
    <row r="3">
      <c r="A3" s="11" t="s">
        <v>69</v>
      </c>
      <c r="B3" s="12" t="s">
        <v>73</v>
      </c>
      <c r="C3" s="11" t="s">
        <v>75</v>
      </c>
      <c r="D3" s="11" t="s">
        <v>81</v>
      </c>
      <c r="E3" s="14">
        <v>4.7</v>
      </c>
      <c r="F3" s="12">
        <v>599.0</v>
      </c>
      <c r="G3" s="12" t="s">
        <v>83</v>
      </c>
      <c r="H3" s="12" t="s">
        <v>84</v>
      </c>
      <c r="I3" s="15" t="str">
        <f>+91 86930 84084</f>
        <v>#ERROR!</v>
      </c>
      <c r="J3" s="15"/>
      <c r="K3" s="12" t="s">
        <v>118</v>
      </c>
      <c r="L3" s="12" t="s">
        <v>119</v>
      </c>
    </row>
    <row r="4">
      <c r="A4" s="11" t="s">
        <v>87</v>
      </c>
      <c r="B4" s="12" t="s">
        <v>95</v>
      </c>
      <c r="C4" s="11" t="s">
        <v>96</v>
      </c>
      <c r="D4" s="11" t="s">
        <v>99</v>
      </c>
      <c r="E4" s="14">
        <v>5.0</v>
      </c>
      <c r="F4" s="12">
        <v>263.0</v>
      </c>
      <c r="G4" s="12" t="s">
        <v>102</v>
      </c>
      <c r="H4" s="12" t="s">
        <v>104</v>
      </c>
      <c r="J4" s="15"/>
      <c r="K4" s="12" t="s">
        <v>118</v>
      </c>
      <c r="L4" s="12" t="s">
        <v>119</v>
      </c>
    </row>
    <row r="5">
      <c r="A5" s="12" t="s">
        <v>42</v>
      </c>
      <c r="B5" s="12" t="s">
        <v>107</v>
      </c>
      <c r="C5" s="12" t="s">
        <v>42</v>
      </c>
      <c r="D5" s="11" t="s">
        <v>109</v>
      </c>
      <c r="E5" s="14">
        <v>5.0</v>
      </c>
      <c r="F5" s="12">
        <v>5.0</v>
      </c>
      <c r="G5" s="12" t="s">
        <v>51</v>
      </c>
      <c r="H5" s="12" t="s">
        <v>111</v>
      </c>
      <c r="J5" s="12" t="s">
        <v>146</v>
      </c>
      <c r="K5" s="12" t="s">
        <v>148</v>
      </c>
      <c r="L5" s="12" t="s">
        <v>149</v>
      </c>
    </row>
    <row r="6">
      <c r="A6" s="12" t="s">
        <v>42</v>
      </c>
      <c r="B6" s="12" t="s">
        <v>116</v>
      </c>
      <c r="C6" s="12" t="s">
        <v>42</v>
      </c>
      <c r="D6" s="11" t="s">
        <v>117</v>
      </c>
      <c r="F6" s="12" t="s">
        <v>160</v>
      </c>
      <c r="G6" s="12" t="s">
        <v>51</v>
      </c>
      <c r="H6" s="12" t="s">
        <v>124</v>
      </c>
      <c r="I6" s="15" t="str">
        <f>+91 97696 95873</f>
        <v>#ERROR!</v>
      </c>
      <c r="J6" s="12" t="s">
        <v>166</v>
      </c>
      <c r="K6" s="12" t="s">
        <v>148</v>
      </c>
      <c r="L6" s="12" t="s">
        <v>149</v>
      </c>
    </row>
    <row r="7">
      <c r="A7" s="11" t="s">
        <v>94</v>
      </c>
      <c r="B7" s="12" t="s">
        <v>132</v>
      </c>
      <c r="C7" s="11" t="s">
        <v>134</v>
      </c>
      <c r="D7" s="11" t="s">
        <v>80</v>
      </c>
      <c r="E7" s="14">
        <v>4.7</v>
      </c>
      <c r="F7" s="12">
        <v>28262.0</v>
      </c>
      <c r="G7" s="12" t="s">
        <v>86</v>
      </c>
      <c r="H7" s="12" t="s">
        <v>88</v>
      </c>
      <c r="I7" s="15" t="str">
        <f>+91 80 6297 2766</f>
        <v>#ERROR!</v>
      </c>
      <c r="J7" s="12" t="s">
        <v>67</v>
      </c>
      <c r="K7" s="12" t="s">
        <v>118</v>
      </c>
      <c r="L7" s="12" t="s">
        <v>119</v>
      </c>
    </row>
    <row r="8">
      <c r="A8" s="11" t="s">
        <v>141</v>
      </c>
      <c r="B8" s="12" t="s">
        <v>142</v>
      </c>
      <c r="C8" s="11" t="s">
        <v>134</v>
      </c>
      <c r="D8" s="11" t="s">
        <v>144</v>
      </c>
      <c r="E8" s="14">
        <v>1.0</v>
      </c>
      <c r="F8" s="12">
        <v>1.0</v>
      </c>
      <c r="G8" s="12" t="s">
        <v>152</v>
      </c>
      <c r="H8" s="12" t="s">
        <v>153</v>
      </c>
      <c r="I8" s="15" t="str">
        <f>+91 80 6942 0449</f>
        <v>#ERROR!</v>
      </c>
      <c r="J8" s="12" t="s">
        <v>155</v>
      </c>
      <c r="K8" s="12" t="s">
        <v>118</v>
      </c>
      <c r="L8" s="12" t="s">
        <v>119</v>
      </c>
    </row>
    <row r="9">
      <c r="A9" s="12" t="s">
        <v>42</v>
      </c>
      <c r="B9" s="12" t="s">
        <v>156</v>
      </c>
      <c r="C9" s="12" t="s">
        <v>42</v>
      </c>
      <c r="D9" s="11" t="s">
        <v>157</v>
      </c>
      <c r="E9" s="14">
        <v>4.5</v>
      </c>
      <c r="F9" s="12">
        <v>10.0</v>
      </c>
      <c r="G9" s="12" t="s">
        <v>74</v>
      </c>
      <c r="H9" s="12" t="s">
        <v>164</v>
      </c>
      <c r="I9" s="15" t="str">
        <f>+91 90041 31975</f>
        <v>#ERROR!</v>
      </c>
      <c r="J9" s="12" t="s">
        <v>167</v>
      </c>
      <c r="K9" s="12" t="s">
        <v>148</v>
      </c>
      <c r="L9" s="12" t="s">
        <v>149</v>
      </c>
    </row>
    <row r="10">
      <c r="A10" s="11" t="s">
        <v>168</v>
      </c>
      <c r="B10" s="12" t="s">
        <v>174</v>
      </c>
      <c r="C10" s="11" t="s">
        <v>176</v>
      </c>
      <c r="D10" s="11" t="s">
        <v>179</v>
      </c>
      <c r="E10" s="14">
        <v>4.9</v>
      </c>
      <c r="F10" s="12">
        <v>580.0</v>
      </c>
      <c r="G10" s="12" t="s">
        <v>184</v>
      </c>
      <c r="H10" s="12" t="s">
        <v>185</v>
      </c>
      <c r="I10" s="12" t="s">
        <v>187</v>
      </c>
      <c r="J10" s="12" t="s">
        <v>247</v>
      </c>
      <c r="K10" s="12" t="s">
        <v>118</v>
      </c>
      <c r="L10" s="12" t="s">
        <v>119</v>
      </c>
    </row>
    <row r="11">
      <c r="A11" s="11" t="s">
        <v>189</v>
      </c>
      <c r="B11" s="12" t="s">
        <v>174</v>
      </c>
      <c r="C11" s="11" t="s">
        <v>176</v>
      </c>
      <c r="D11" s="11" t="s">
        <v>179</v>
      </c>
      <c r="E11" s="14">
        <v>4.9</v>
      </c>
      <c r="F11" s="12">
        <v>580.0</v>
      </c>
      <c r="G11" s="12" t="s">
        <v>184</v>
      </c>
      <c r="H11" s="12" t="s">
        <v>185</v>
      </c>
      <c r="I11" s="12" t="s">
        <v>187</v>
      </c>
      <c r="J11" s="12" t="s">
        <v>265</v>
      </c>
      <c r="K11" s="12" t="s">
        <v>118</v>
      </c>
      <c r="L11" s="12" t="s">
        <v>119</v>
      </c>
    </row>
    <row r="12">
      <c r="A12" s="11" t="s">
        <v>199</v>
      </c>
      <c r="B12" s="12" t="s">
        <v>202</v>
      </c>
      <c r="C12" s="11" t="s">
        <v>203</v>
      </c>
      <c r="D12" s="11" t="s">
        <v>207</v>
      </c>
      <c r="E12" s="14">
        <v>4.9</v>
      </c>
      <c r="F12" s="12">
        <v>2924.0</v>
      </c>
      <c r="G12" s="12" t="s">
        <v>86</v>
      </c>
      <c r="H12" s="12" t="s">
        <v>210</v>
      </c>
      <c r="I12" s="12" t="s">
        <v>211</v>
      </c>
      <c r="J12" s="15"/>
      <c r="K12" s="12" t="s">
        <v>118</v>
      </c>
      <c r="L12" s="12" t="s">
        <v>119</v>
      </c>
    </row>
    <row r="13">
      <c r="A13" s="11" t="s">
        <v>213</v>
      </c>
      <c r="B13" s="12" t="s">
        <v>216</v>
      </c>
      <c r="C13" s="12" t="s">
        <v>42</v>
      </c>
      <c r="D13" s="11" t="s">
        <v>218</v>
      </c>
      <c r="E13" s="14">
        <v>4.9</v>
      </c>
      <c r="F13" s="12">
        <v>100.0</v>
      </c>
      <c r="G13" s="12" t="s">
        <v>222</v>
      </c>
      <c r="H13" s="12" t="s">
        <v>223</v>
      </c>
      <c r="I13" s="15" t="str">
        <f>+91 76668 05588</f>
        <v>#ERROR!</v>
      </c>
      <c r="J13" s="12" t="s">
        <v>304</v>
      </c>
      <c r="K13" s="12" t="s">
        <v>98</v>
      </c>
      <c r="L13" s="12" t="s">
        <v>100</v>
      </c>
    </row>
    <row r="14">
      <c r="A14" s="12" t="s">
        <v>42</v>
      </c>
      <c r="B14" s="12" t="s">
        <v>227</v>
      </c>
      <c r="C14" s="12" t="s">
        <v>42</v>
      </c>
      <c r="D14" s="11" t="s">
        <v>228</v>
      </c>
      <c r="E14" s="14">
        <v>1.0</v>
      </c>
      <c r="F14" s="12">
        <v>1.0</v>
      </c>
      <c r="G14" s="12" t="s">
        <v>51</v>
      </c>
      <c r="H14" s="12" t="s">
        <v>233</v>
      </c>
      <c r="I14" s="15" t="str">
        <f>+91 99672 63283</f>
        <v>#ERROR!</v>
      </c>
      <c r="J14" s="12" t="s">
        <v>235</v>
      </c>
      <c r="K14" s="12" t="s">
        <v>148</v>
      </c>
      <c r="L14" s="12" t="s">
        <v>149</v>
      </c>
    </row>
    <row r="15">
      <c r="A15" s="11" t="s">
        <v>232</v>
      </c>
      <c r="B15" s="12" t="s">
        <v>229</v>
      </c>
      <c r="C15" s="11" t="s">
        <v>240</v>
      </c>
      <c r="D15" s="11" t="s">
        <v>221</v>
      </c>
      <c r="E15" s="14">
        <v>4.9</v>
      </c>
      <c r="F15" s="12">
        <v>274.0</v>
      </c>
      <c r="G15" s="12" t="s">
        <v>115</v>
      </c>
      <c r="H15" s="12" t="s">
        <v>230</v>
      </c>
      <c r="I15" s="15" t="str">
        <f>+91 86578 62385</f>
        <v>#ERROR!</v>
      </c>
      <c r="J15" s="12" t="s">
        <v>208</v>
      </c>
      <c r="K15" s="12" t="s">
        <v>118</v>
      </c>
      <c r="L15" s="12" t="s">
        <v>119</v>
      </c>
    </row>
    <row r="16">
      <c r="A16" s="11" t="s">
        <v>248</v>
      </c>
      <c r="B16" s="12" t="s">
        <v>250</v>
      </c>
      <c r="C16" s="11" t="s">
        <v>251</v>
      </c>
      <c r="D16" s="11" t="s">
        <v>254</v>
      </c>
      <c r="F16" s="12" t="s">
        <v>160</v>
      </c>
      <c r="G16" s="12" t="s">
        <v>192</v>
      </c>
      <c r="H16" s="12" t="s">
        <v>257</v>
      </c>
      <c r="J16" s="12" t="s">
        <v>348</v>
      </c>
      <c r="K16" s="12" t="s">
        <v>118</v>
      </c>
      <c r="L16" s="12" t="s">
        <v>119</v>
      </c>
    </row>
    <row r="17">
      <c r="A17" s="11" t="s">
        <v>259</v>
      </c>
      <c r="B17" s="12" t="s">
        <v>260</v>
      </c>
      <c r="C17" s="12" t="s">
        <v>42</v>
      </c>
      <c r="D17" s="11" t="s">
        <v>261</v>
      </c>
      <c r="E17" s="14">
        <v>4.9</v>
      </c>
      <c r="F17" s="12">
        <v>16.0</v>
      </c>
      <c r="G17" s="12" t="s">
        <v>192</v>
      </c>
      <c r="H17" s="12" t="s">
        <v>262</v>
      </c>
      <c r="I17" s="15" t="str">
        <f>+91 87796 00322</f>
        <v>#ERROR!</v>
      </c>
      <c r="J17" s="12" t="s">
        <v>364</v>
      </c>
      <c r="K17" s="12" t="s">
        <v>98</v>
      </c>
      <c r="L17" s="12" t="s">
        <v>100</v>
      </c>
    </row>
    <row r="18">
      <c r="A18" s="11" t="s">
        <v>268</v>
      </c>
      <c r="B18" s="12" t="s">
        <v>271</v>
      </c>
      <c r="C18" s="11" t="s">
        <v>272</v>
      </c>
      <c r="D18" s="11" t="s">
        <v>276</v>
      </c>
      <c r="E18" s="14">
        <v>4.9</v>
      </c>
      <c r="F18" s="12">
        <v>1690.0</v>
      </c>
      <c r="G18" s="12" t="s">
        <v>279</v>
      </c>
      <c r="H18" s="12" t="s">
        <v>280</v>
      </c>
      <c r="I18" s="15" t="str">
        <f>+91 80 6542 3838</f>
        <v>#ERROR!</v>
      </c>
      <c r="J18" s="12" t="s">
        <v>381</v>
      </c>
      <c r="K18" s="12" t="s">
        <v>118</v>
      </c>
      <c r="L18" s="12" t="s">
        <v>119</v>
      </c>
    </row>
    <row r="19">
      <c r="A19" s="11" t="s">
        <v>285</v>
      </c>
      <c r="B19" s="12" t="s">
        <v>290</v>
      </c>
      <c r="C19" s="11" t="s">
        <v>291</v>
      </c>
      <c r="D19" s="11" t="s">
        <v>292</v>
      </c>
      <c r="E19" s="14">
        <v>4.7</v>
      </c>
      <c r="F19" s="12">
        <v>3862.0</v>
      </c>
      <c r="G19" s="12" t="s">
        <v>298</v>
      </c>
      <c r="H19" s="12" t="s">
        <v>52</v>
      </c>
      <c r="I19" s="15" t="str">
        <f>+91 99728 99728</f>
        <v>#ERROR!</v>
      </c>
      <c r="J19" s="12" t="s">
        <v>300</v>
      </c>
      <c r="K19" s="12" t="s">
        <v>118</v>
      </c>
      <c r="L19" s="12" t="s">
        <v>119</v>
      </c>
    </row>
    <row r="20">
      <c r="A20" s="11" t="s">
        <v>301</v>
      </c>
      <c r="B20" s="12" t="s">
        <v>305</v>
      </c>
      <c r="C20" s="11" t="s">
        <v>306</v>
      </c>
      <c r="D20" s="11" t="s">
        <v>309</v>
      </c>
      <c r="E20" s="14">
        <v>4.9</v>
      </c>
      <c r="F20" s="12">
        <v>99.0</v>
      </c>
      <c r="G20" s="12" t="s">
        <v>102</v>
      </c>
      <c r="H20" s="12" t="s">
        <v>314</v>
      </c>
      <c r="I20" s="15" t="str">
        <f>+91 11 6927 1067</f>
        <v>#ERROR!</v>
      </c>
      <c r="J20" s="12" t="s">
        <v>316</v>
      </c>
      <c r="K20" s="12" t="s">
        <v>118</v>
      </c>
      <c r="L20" s="12" t="s">
        <v>119</v>
      </c>
    </row>
    <row r="21">
      <c r="A21" s="11" t="s">
        <v>317</v>
      </c>
      <c r="B21" s="12" t="s">
        <v>319</v>
      </c>
      <c r="C21" s="11" t="s">
        <v>320</v>
      </c>
      <c r="D21" s="11" t="s">
        <v>324</v>
      </c>
      <c r="E21" s="14">
        <v>4.3</v>
      </c>
      <c r="F21" s="12">
        <v>175.0</v>
      </c>
      <c r="G21" s="12" t="s">
        <v>330</v>
      </c>
      <c r="H21" s="12" t="s">
        <v>332</v>
      </c>
      <c r="J21" s="12" t="s">
        <v>333</v>
      </c>
      <c r="K21" s="12" t="s">
        <v>118</v>
      </c>
      <c r="L21" s="12" t="s">
        <v>119</v>
      </c>
    </row>
    <row r="22">
      <c r="A22" s="11" t="s">
        <v>334</v>
      </c>
      <c r="B22" s="12" t="s">
        <v>335</v>
      </c>
      <c r="C22" s="11" t="s">
        <v>336</v>
      </c>
      <c r="D22" s="11" t="s">
        <v>339</v>
      </c>
      <c r="E22" s="14">
        <v>4.1</v>
      </c>
      <c r="F22" s="12">
        <v>3440.0</v>
      </c>
      <c r="G22" s="12" t="s">
        <v>86</v>
      </c>
      <c r="H22" s="12" t="s">
        <v>343</v>
      </c>
      <c r="I22" s="15" t="str">
        <f>+91 22 6517 5901</f>
        <v>#ERROR!</v>
      </c>
      <c r="J22" s="12" t="s">
        <v>333</v>
      </c>
      <c r="K22" s="12" t="s">
        <v>118</v>
      </c>
      <c r="L22" s="12" t="s">
        <v>119</v>
      </c>
    </row>
    <row r="23">
      <c r="A23" s="11" t="s">
        <v>345</v>
      </c>
      <c r="B23" s="12" t="s">
        <v>349</v>
      </c>
      <c r="C23" s="12" t="s">
        <v>42</v>
      </c>
      <c r="D23" s="11" t="s">
        <v>350</v>
      </c>
      <c r="E23" s="14">
        <v>4.9</v>
      </c>
      <c r="F23" s="12">
        <v>147.0</v>
      </c>
      <c r="G23" s="12" t="s">
        <v>102</v>
      </c>
      <c r="H23" s="12" t="s">
        <v>355</v>
      </c>
      <c r="I23" s="15" t="str">
        <f>+91 83692 40730</f>
        <v>#ERROR!</v>
      </c>
      <c r="J23" s="12" t="s">
        <v>435</v>
      </c>
      <c r="K23" s="12" t="s">
        <v>98</v>
      </c>
      <c r="L23" s="12" t="s">
        <v>100</v>
      </c>
    </row>
    <row r="24">
      <c r="A24" s="12" t="s">
        <v>42</v>
      </c>
      <c r="B24" s="12" t="s">
        <v>362</v>
      </c>
      <c r="C24" s="12" t="s">
        <v>42</v>
      </c>
      <c r="D24" s="11" t="s">
        <v>363</v>
      </c>
      <c r="E24" s="14">
        <v>4.2</v>
      </c>
      <c r="F24" s="12">
        <v>75.0</v>
      </c>
      <c r="G24" s="12" t="s">
        <v>74</v>
      </c>
      <c r="H24" s="12" t="s">
        <v>367</v>
      </c>
      <c r="I24" s="15" t="str">
        <f>+91 98926 82878</f>
        <v>#ERROR!</v>
      </c>
      <c r="J24" s="12" t="s">
        <v>370</v>
      </c>
      <c r="K24" s="12" t="s">
        <v>148</v>
      </c>
      <c r="L24" s="12" t="s">
        <v>149</v>
      </c>
    </row>
    <row r="25">
      <c r="A25" s="11" t="s">
        <v>373</v>
      </c>
      <c r="B25" s="12" t="s">
        <v>375</v>
      </c>
      <c r="C25" s="11" t="s">
        <v>376</v>
      </c>
      <c r="D25" s="11" t="s">
        <v>380</v>
      </c>
      <c r="E25" s="14">
        <v>5.0</v>
      </c>
      <c r="F25" s="12">
        <v>59.0</v>
      </c>
      <c r="G25" s="12" t="s">
        <v>384</v>
      </c>
      <c r="H25" s="12" t="s">
        <v>386</v>
      </c>
      <c r="I25" s="15" t="str">
        <f>+91 91366 24877</f>
        <v>#ERROR!</v>
      </c>
      <c r="J25" s="12" t="s">
        <v>333</v>
      </c>
      <c r="K25" s="12" t="s">
        <v>118</v>
      </c>
      <c r="L25" s="12" t="s">
        <v>119</v>
      </c>
    </row>
    <row r="26">
      <c r="A26" s="11" t="s">
        <v>313</v>
      </c>
      <c r="B26" s="12" t="s">
        <v>307</v>
      </c>
      <c r="C26" s="11" t="s">
        <v>389</v>
      </c>
      <c r="D26" s="11" t="s">
        <v>303</v>
      </c>
      <c r="E26" s="14">
        <v>4.6</v>
      </c>
      <c r="F26" s="12">
        <v>1050.0</v>
      </c>
      <c r="G26" s="12" t="s">
        <v>308</v>
      </c>
      <c r="H26" s="12" t="s">
        <v>310</v>
      </c>
      <c r="I26" s="15" t="str">
        <f>+91 70450 06060</f>
        <v>#ERROR!</v>
      </c>
      <c r="J26" s="12" t="s">
        <v>477</v>
      </c>
      <c r="K26" s="12" t="s">
        <v>118</v>
      </c>
      <c r="L26" s="12" t="s">
        <v>119</v>
      </c>
    </row>
    <row r="27">
      <c r="A27" s="12" t="s">
        <v>42</v>
      </c>
      <c r="B27" s="12" t="s">
        <v>395</v>
      </c>
      <c r="C27" s="12" t="s">
        <v>42</v>
      </c>
      <c r="D27" s="11" t="s">
        <v>396</v>
      </c>
      <c r="E27" s="14">
        <v>4.4</v>
      </c>
      <c r="F27" s="12">
        <v>36.0</v>
      </c>
      <c r="G27" s="12" t="s">
        <v>403</v>
      </c>
      <c r="H27" s="12" t="s">
        <v>404</v>
      </c>
      <c r="I27" s="15" t="str">
        <f>+91 98210 39426</f>
        <v>#ERROR!</v>
      </c>
      <c r="J27" s="12" t="s">
        <v>490</v>
      </c>
      <c r="K27" s="12" t="s">
        <v>148</v>
      </c>
      <c r="L27" s="12" t="s">
        <v>149</v>
      </c>
    </row>
    <row r="28">
      <c r="A28" s="11" t="s">
        <v>408</v>
      </c>
      <c r="B28" s="12" t="s">
        <v>411</v>
      </c>
      <c r="C28" s="11" t="s">
        <v>412</v>
      </c>
      <c r="D28" s="11" t="s">
        <v>413</v>
      </c>
      <c r="E28" s="14">
        <v>4.7</v>
      </c>
      <c r="F28" s="12">
        <v>41.0</v>
      </c>
      <c r="G28" s="12" t="s">
        <v>51</v>
      </c>
      <c r="H28" s="12" t="s">
        <v>418</v>
      </c>
      <c r="I28" s="15" t="str">
        <f>+91 90281 70123</f>
        <v>#ERROR!</v>
      </c>
      <c r="J28" s="15"/>
      <c r="K28" s="12" t="s">
        <v>118</v>
      </c>
      <c r="L28" s="12" t="s">
        <v>119</v>
      </c>
    </row>
    <row r="29">
      <c r="A29" s="11" t="s">
        <v>420</v>
      </c>
      <c r="B29" s="12" t="s">
        <v>423</v>
      </c>
      <c r="C29" s="12" t="s">
        <v>42</v>
      </c>
      <c r="D29" s="11" t="s">
        <v>424</v>
      </c>
      <c r="E29" s="14">
        <v>3.8</v>
      </c>
      <c r="F29" s="12">
        <v>82.0</v>
      </c>
      <c r="G29" s="12" t="s">
        <v>83</v>
      </c>
      <c r="H29" s="12" t="s">
        <v>428</v>
      </c>
      <c r="I29" s="15" t="str">
        <f>+91 70450 11188</f>
        <v>#ERROR!</v>
      </c>
      <c r="J29" s="12" t="s">
        <v>513</v>
      </c>
      <c r="K29" s="12" t="s">
        <v>98</v>
      </c>
      <c r="L29" s="12" t="s">
        <v>100</v>
      </c>
    </row>
    <row r="30">
      <c r="A30" s="11" t="s">
        <v>432</v>
      </c>
      <c r="B30" s="12" t="s">
        <v>438</v>
      </c>
      <c r="C30" s="11" t="s">
        <v>389</v>
      </c>
      <c r="D30" s="11" t="s">
        <v>439</v>
      </c>
      <c r="E30" s="14">
        <v>5.0</v>
      </c>
      <c r="F30" s="12">
        <v>471.0</v>
      </c>
      <c r="G30" s="12" t="s">
        <v>102</v>
      </c>
      <c r="H30" s="12" t="s">
        <v>442</v>
      </c>
      <c r="I30" s="12" t="s">
        <v>444</v>
      </c>
      <c r="J30" s="12" t="s">
        <v>445</v>
      </c>
      <c r="K30" s="12" t="s">
        <v>118</v>
      </c>
      <c r="L30" s="12" t="s">
        <v>119</v>
      </c>
    </row>
    <row r="31">
      <c r="A31" s="11" t="s">
        <v>446</v>
      </c>
      <c r="B31" s="12" t="s">
        <v>449</v>
      </c>
      <c r="C31" s="12" t="s">
        <v>42</v>
      </c>
      <c r="D31" s="11" t="s">
        <v>450</v>
      </c>
      <c r="E31" s="14">
        <v>5.0</v>
      </c>
      <c r="F31" s="12">
        <v>255.0</v>
      </c>
      <c r="G31" s="12" t="s">
        <v>456</v>
      </c>
      <c r="H31" s="12" t="s">
        <v>458</v>
      </c>
      <c r="I31" s="15" t="str">
        <f>+91 95941 97549</f>
        <v>#ERROR!</v>
      </c>
      <c r="J31" s="12" t="s">
        <v>532</v>
      </c>
      <c r="K31" s="12" t="s">
        <v>98</v>
      </c>
      <c r="L31" s="12" t="s">
        <v>100</v>
      </c>
    </row>
    <row r="32">
      <c r="A32" s="11" t="s">
        <v>462</v>
      </c>
      <c r="B32" s="12" t="s">
        <v>463</v>
      </c>
      <c r="C32" s="12" t="s">
        <v>42</v>
      </c>
      <c r="D32" s="11" t="s">
        <v>465</v>
      </c>
      <c r="E32" s="14">
        <v>4.9</v>
      </c>
      <c r="F32" s="12">
        <v>749.0</v>
      </c>
      <c r="G32" s="12" t="s">
        <v>470</v>
      </c>
      <c r="H32" s="12" t="s">
        <v>471</v>
      </c>
      <c r="I32" s="15" t="str">
        <f>+91 90281 70123</f>
        <v>#ERROR!</v>
      </c>
      <c r="J32" s="12" t="s">
        <v>472</v>
      </c>
      <c r="K32" s="12" t="s">
        <v>98</v>
      </c>
      <c r="L32" s="12" t="s">
        <v>100</v>
      </c>
    </row>
    <row r="33">
      <c r="A33" s="12" t="s">
        <v>42</v>
      </c>
      <c r="B33" s="12" t="s">
        <v>473</v>
      </c>
      <c r="C33" s="12" t="s">
        <v>42</v>
      </c>
      <c r="D33" s="11" t="s">
        <v>474</v>
      </c>
      <c r="E33" s="14">
        <v>4.9</v>
      </c>
      <c r="F33" s="12">
        <v>115.0</v>
      </c>
      <c r="G33" s="12" t="s">
        <v>51</v>
      </c>
      <c r="H33" s="12" t="s">
        <v>476</v>
      </c>
      <c r="I33" s="15" t="str">
        <f>+91 98337 15477</f>
        <v>#ERROR!</v>
      </c>
      <c r="J33" s="12" t="s">
        <v>552</v>
      </c>
      <c r="K33" s="12" t="s">
        <v>148</v>
      </c>
      <c r="L33" s="12" t="s">
        <v>149</v>
      </c>
    </row>
    <row r="34">
      <c r="A34" s="11" t="s">
        <v>482</v>
      </c>
      <c r="B34" s="12" t="s">
        <v>485</v>
      </c>
      <c r="C34" s="11" t="s">
        <v>486</v>
      </c>
      <c r="D34" s="11" t="s">
        <v>489</v>
      </c>
      <c r="E34" s="14">
        <v>5.0</v>
      </c>
      <c r="F34" s="12">
        <v>44.0</v>
      </c>
      <c r="G34" s="12" t="s">
        <v>51</v>
      </c>
      <c r="H34" s="12" t="s">
        <v>494</v>
      </c>
      <c r="I34" s="15" t="str">
        <f>+91 77770 70531</f>
        <v>#ERROR!</v>
      </c>
      <c r="J34" s="12" t="s">
        <v>496</v>
      </c>
      <c r="K34" s="12" t="s">
        <v>118</v>
      </c>
      <c r="L34" s="12" t="s">
        <v>119</v>
      </c>
    </row>
    <row r="35">
      <c r="A35" s="12" t="s">
        <v>42</v>
      </c>
      <c r="B35" s="12" t="s">
        <v>498</v>
      </c>
      <c r="C35" s="12" t="s">
        <v>42</v>
      </c>
      <c r="D35" s="11" t="s">
        <v>499</v>
      </c>
      <c r="E35" s="14">
        <v>4.7</v>
      </c>
      <c r="F35" s="12">
        <v>3.0</v>
      </c>
      <c r="G35" s="12" t="s">
        <v>51</v>
      </c>
      <c r="H35" s="12" t="s">
        <v>502</v>
      </c>
      <c r="I35" s="15" t="str">
        <f>+91 91673 59313</f>
        <v>#ERROR!</v>
      </c>
      <c r="J35" s="12" t="s">
        <v>504</v>
      </c>
      <c r="K35" s="12" t="s">
        <v>148</v>
      </c>
      <c r="L35" s="12" t="s">
        <v>149</v>
      </c>
    </row>
    <row r="36">
      <c r="A36" s="12" t="s">
        <v>42</v>
      </c>
      <c r="B36" s="12" t="s">
        <v>382</v>
      </c>
      <c r="C36" s="12" t="s">
        <v>42</v>
      </c>
      <c r="D36" s="11" t="s">
        <v>379</v>
      </c>
      <c r="E36" s="14">
        <v>5.0</v>
      </c>
      <c r="F36" s="12">
        <v>1.0</v>
      </c>
      <c r="G36" s="12" t="s">
        <v>51</v>
      </c>
      <c r="H36" s="12" t="s">
        <v>383</v>
      </c>
      <c r="J36" s="12" t="s">
        <v>581</v>
      </c>
      <c r="K36" s="12" t="s">
        <v>148</v>
      </c>
      <c r="L36" s="12" t="s">
        <v>149</v>
      </c>
    </row>
    <row r="37">
      <c r="A37" s="11" t="s">
        <v>509</v>
      </c>
      <c r="B37" s="12" t="s">
        <v>510</v>
      </c>
      <c r="C37" s="11" t="s">
        <v>511</v>
      </c>
      <c r="D37" s="11" t="s">
        <v>512</v>
      </c>
      <c r="E37" s="14">
        <v>4.9</v>
      </c>
      <c r="F37" s="12">
        <v>757.0</v>
      </c>
      <c r="G37" s="12" t="s">
        <v>514</v>
      </c>
      <c r="H37" s="12" t="s">
        <v>52</v>
      </c>
      <c r="I37" s="15" t="str">
        <f>+91 70453 13773</f>
        <v>#ERROR!</v>
      </c>
      <c r="J37" s="12" t="s">
        <v>504</v>
      </c>
      <c r="K37" s="12" t="s">
        <v>118</v>
      </c>
      <c r="L37" s="12" t="s">
        <v>119</v>
      </c>
    </row>
    <row r="38">
      <c r="A38" s="12" t="s">
        <v>42</v>
      </c>
      <c r="B38" s="12" t="s">
        <v>517</v>
      </c>
      <c r="C38" s="12" t="s">
        <v>42</v>
      </c>
      <c r="D38" s="11" t="s">
        <v>518</v>
      </c>
      <c r="E38" s="14">
        <v>4.8</v>
      </c>
      <c r="F38" s="12">
        <v>525.0</v>
      </c>
      <c r="G38" s="12" t="s">
        <v>521</v>
      </c>
      <c r="H38" s="12" t="s">
        <v>522</v>
      </c>
      <c r="I38" s="15" t="str">
        <f>+91 77382 05586</f>
        <v>#ERROR!</v>
      </c>
      <c r="J38" s="15"/>
      <c r="K38" s="12" t="s">
        <v>148</v>
      </c>
      <c r="L38" s="12" t="s">
        <v>149</v>
      </c>
    </row>
    <row r="39">
      <c r="A39" s="11" t="s">
        <v>526</v>
      </c>
      <c r="B39" s="12" t="s">
        <v>529</v>
      </c>
      <c r="C39" s="11" t="s">
        <v>530</v>
      </c>
      <c r="D39" s="11" t="s">
        <v>531</v>
      </c>
      <c r="E39" s="14">
        <v>4.9</v>
      </c>
      <c r="F39" s="12">
        <v>590.0</v>
      </c>
      <c r="G39" s="12" t="s">
        <v>279</v>
      </c>
      <c r="H39" s="12" t="s">
        <v>533</v>
      </c>
      <c r="I39" s="15" t="str">
        <f>+91 81044 41581</f>
        <v>#ERROR!</v>
      </c>
      <c r="J39" s="12" t="s">
        <v>535</v>
      </c>
      <c r="K39" s="12" t="s">
        <v>118</v>
      </c>
      <c r="L39" s="12" t="s">
        <v>119</v>
      </c>
    </row>
    <row r="40">
      <c r="A40" s="12" t="s">
        <v>42</v>
      </c>
      <c r="B40" s="12" t="s">
        <v>537</v>
      </c>
      <c r="C40" s="12" t="s">
        <v>42</v>
      </c>
      <c r="D40" s="11" t="s">
        <v>538</v>
      </c>
      <c r="E40" s="14">
        <v>4.6</v>
      </c>
      <c r="F40" s="12">
        <v>22.0</v>
      </c>
      <c r="G40" s="12" t="s">
        <v>74</v>
      </c>
      <c r="H40" s="12" t="s">
        <v>539</v>
      </c>
      <c r="I40" s="15" t="str">
        <f>+91 98202 59594</f>
        <v>#ERROR!</v>
      </c>
      <c r="J40" s="12" t="s">
        <v>614</v>
      </c>
      <c r="K40" s="12" t="s">
        <v>148</v>
      </c>
      <c r="L40" s="12" t="s">
        <v>149</v>
      </c>
    </row>
    <row r="41">
      <c r="A41" s="11" t="s">
        <v>542</v>
      </c>
      <c r="B41" s="12" t="s">
        <v>543</v>
      </c>
      <c r="C41" s="12" t="s">
        <v>42</v>
      </c>
      <c r="D41" s="11" t="s">
        <v>544</v>
      </c>
      <c r="E41" s="14">
        <v>4.8</v>
      </c>
      <c r="F41" s="12">
        <v>174.0</v>
      </c>
      <c r="G41" s="12" t="s">
        <v>322</v>
      </c>
      <c r="H41" s="12" t="s">
        <v>545</v>
      </c>
      <c r="I41" s="15" t="str">
        <f>+91 85914 20077</f>
        <v>#ERROR!</v>
      </c>
      <c r="J41" s="12" t="s">
        <v>625</v>
      </c>
      <c r="K41" s="12" t="s">
        <v>98</v>
      </c>
      <c r="L41" s="12" t="s">
        <v>100</v>
      </c>
    </row>
    <row r="42">
      <c r="A42" s="11" t="s">
        <v>549</v>
      </c>
      <c r="B42" s="12" t="s">
        <v>550</v>
      </c>
      <c r="C42" s="12" t="s">
        <v>42</v>
      </c>
      <c r="D42" s="11" t="s">
        <v>551</v>
      </c>
      <c r="E42" s="14">
        <v>4.5</v>
      </c>
      <c r="F42" s="12">
        <v>83.0</v>
      </c>
      <c r="G42" s="12" t="s">
        <v>553</v>
      </c>
      <c r="H42" s="12" t="s">
        <v>554</v>
      </c>
      <c r="I42" s="15" t="str">
        <f>+91 93230 65562</f>
        <v>#ERROR!</v>
      </c>
      <c r="J42" s="15"/>
      <c r="K42" s="12" t="s">
        <v>98</v>
      </c>
      <c r="L42" s="12" t="s">
        <v>100</v>
      </c>
    </row>
    <row r="43">
      <c r="A43" s="12" t="s">
        <v>42</v>
      </c>
      <c r="B43" s="12" t="s">
        <v>556</v>
      </c>
      <c r="C43" s="12" t="s">
        <v>42</v>
      </c>
      <c r="D43" s="11" t="s">
        <v>557</v>
      </c>
      <c r="E43" s="14">
        <v>4.9</v>
      </c>
      <c r="F43" s="12">
        <v>170.0</v>
      </c>
      <c r="G43" s="12" t="s">
        <v>559</v>
      </c>
      <c r="H43" s="12" t="s">
        <v>560</v>
      </c>
      <c r="I43" s="15" t="str">
        <f>+91 90041 31975</f>
        <v>#ERROR!</v>
      </c>
      <c r="J43" s="12" t="s">
        <v>504</v>
      </c>
      <c r="K43" s="12" t="s">
        <v>148</v>
      </c>
      <c r="L43" s="12" t="s">
        <v>149</v>
      </c>
    </row>
    <row r="44">
      <c r="A44" s="12" t="s">
        <v>42</v>
      </c>
      <c r="B44" s="12" t="s">
        <v>562</v>
      </c>
      <c r="C44" s="12" t="s">
        <v>42</v>
      </c>
      <c r="D44" s="11" t="s">
        <v>563</v>
      </c>
      <c r="E44" s="14">
        <v>4.5</v>
      </c>
      <c r="F44" s="12">
        <v>31.0</v>
      </c>
      <c r="G44" s="12" t="s">
        <v>192</v>
      </c>
      <c r="H44" s="12" t="s">
        <v>567</v>
      </c>
      <c r="I44" s="15" t="str">
        <f>+91 70211 83353</f>
        <v>#ERROR!</v>
      </c>
      <c r="J44" s="15"/>
      <c r="K44" s="12" t="s">
        <v>148</v>
      </c>
      <c r="L44" s="12" t="s">
        <v>149</v>
      </c>
    </row>
    <row r="45">
      <c r="A45" s="11" t="s">
        <v>186</v>
      </c>
      <c r="B45" s="12" t="s">
        <v>180</v>
      </c>
      <c r="C45" s="11" t="s">
        <v>573</v>
      </c>
      <c r="D45" s="11" t="s">
        <v>178</v>
      </c>
      <c r="E45" s="14">
        <v>4.9</v>
      </c>
      <c r="F45" s="12">
        <v>330.0</v>
      </c>
      <c r="G45" s="12" t="s">
        <v>181</v>
      </c>
      <c r="H45" s="12" t="s">
        <v>182</v>
      </c>
      <c r="J45" s="12" t="s">
        <v>162</v>
      </c>
      <c r="K45" s="12" t="s">
        <v>118</v>
      </c>
      <c r="L45" s="12" t="s">
        <v>119</v>
      </c>
    </row>
    <row r="46">
      <c r="A46" s="12" t="s">
        <v>42</v>
      </c>
      <c r="B46" s="12" t="s">
        <v>578</v>
      </c>
      <c r="C46" s="12" t="s">
        <v>42</v>
      </c>
      <c r="D46" s="11" t="s">
        <v>579</v>
      </c>
      <c r="E46" s="14">
        <v>5.0</v>
      </c>
      <c r="F46" s="12">
        <v>31.0</v>
      </c>
      <c r="G46" s="12" t="s">
        <v>102</v>
      </c>
      <c r="H46" s="12" t="s">
        <v>582</v>
      </c>
      <c r="J46" s="12" t="s">
        <v>584</v>
      </c>
      <c r="K46" s="12" t="s">
        <v>148</v>
      </c>
      <c r="L46" s="12" t="s">
        <v>149</v>
      </c>
    </row>
    <row r="47">
      <c r="A47" s="11" t="s">
        <v>585</v>
      </c>
      <c r="B47" s="12" t="s">
        <v>588</v>
      </c>
      <c r="C47" s="12" t="s">
        <v>42</v>
      </c>
      <c r="D47" s="11" t="s">
        <v>589</v>
      </c>
      <c r="E47" s="14">
        <v>4.9</v>
      </c>
      <c r="F47" s="12">
        <v>222.0</v>
      </c>
      <c r="G47" s="12" t="s">
        <v>51</v>
      </c>
      <c r="H47" s="12" t="s">
        <v>592</v>
      </c>
      <c r="I47" s="15" t="str">
        <f>+91 80 6297 2766</f>
        <v>#ERROR!</v>
      </c>
      <c r="J47" s="12" t="s">
        <v>594</v>
      </c>
      <c r="K47" s="12" t="s">
        <v>98</v>
      </c>
      <c r="L47" s="12" t="s">
        <v>100</v>
      </c>
    </row>
    <row r="48">
      <c r="A48" s="11" t="s">
        <v>374</v>
      </c>
      <c r="B48" s="12" t="s">
        <v>365</v>
      </c>
      <c r="C48" s="11" t="s">
        <v>598</v>
      </c>
      <c r="D48" s="11" t="s">
        <v>361</v>
      </c>
      <c r="E48" s="14">
        <v>5.0</v>
      </c>
      <c r="F48" s="12">
        <v>18.0</v>
      </c>
      <c r="G48" s="12" t="s">
        <v>366</v>
      </c>
      <c r="H48" s="12" t="s">
        <v>369</v>
      </c>
      <c r="I48" s="15" t="str">
        <f>+91 89763 94839</f>
        <v>#ERROR!</v>
      </c>
      <c r="J48" s="12" t="s">
        <v>686</v>
      </c>
      <c r="K48" s="12" t="s">
        <v>118</v>
      </c>
      <c r="L48" s="12" t="s">
        <v>119</v>
      </c>
    </row>
    <row r="49">
      <c r="A49" s="11" t="s">
        <v>605</v>
      </c>
      <c r="B49" s="12" t="s">
        <v>607</v>
      </c>
      <c r="C49" s="11" t="s">
        <v>608</v>
      </c>
      <c r="D49" s="11" t="s">
        <v>609</v>
      </c>
      <c r="E49" s="14">
        <v>4.8</v>
      </c>
      <c r="F49" s="12">
        <v>257.0</v>
      </c>
      <c r="G49" s="12" t="s">
        <v>102</v>
      </c>
      <c r="H49" s="12" t="s">
        <v>610</v>
      </c>
      <c r="I49" s="15" t="str">
        <f>+91 80970 40495</f>
        <v>#ERROR!</v>
      </c>
      <c r="J49" s="12" t="s">
        <v>504</v>
      </c>
      <c r="K49" s="12" t="s">
        <v>118</v>
      </c>
      <c r="L49" s="12" t="s">
        <v>119</v>
      </c>
    </row>
    <row r="50">
      <c r="A50" s="11" t="s">
        <v>604</v>
      </c>
      <c r="B50" s="12" t="s">
        <v>601</v>
      </c>
      <c r="C50" s="12" t="s">
        <v>42</v>
      </c>
      <c r="D50" s="11" t="s">
        <v>600</v>
      </c>
      <c r="E50" s="14">
        <v>4.8</v>
      </c>
      <c r="F50" s="12">
        <v>238.0</v>
      </c>
      <c r="G50" s="12" t="s">
        <v>115</v>
      </c>
      <c r="H50" s="12" t="s">
        <v>602</v>
      </c>
      <c r="I50" s="15" t="str">
        <f>+91 99303 06389</f>
        <v>#ERROR!</v>
      </c>
      <c r="J50" s="12" t="s">
        <v>703</v>
      </c>
      <c r="K50" s="12" t="s">
        <v>98</v>
      </c>
      <c r="L50" s="12" t="s">
        <v>100</v>
      </c>
    </row>
    <row r="51">
      <c r="A51" s="11" t="s">
        <v>618</v>
      </c>
      <c r="B51" s="12" t="s">
        <v>621</v>
      </c>
      <c r="C51" s="12" t="s">
        <v>42</v>
      </c>
      <c r="D51" s="11" t="s">
        <v>622</v>
      </c>
      <c r="E51" s="14">
        <v>4.9</v>
      </c>
      <c r="F51" s="12">
        <v>157.0</v>
      </c>
      <c r="G51" s="12" t="s">
        <v>51</v>
      </c>
      <c r="H51" s="12" t="s">
        <v>626</v>
      </c>
      <c r="I51" s="15" t="str">
        <f>+91 70213 53437</f>
        <v>#ERROR!</v>
      </c>
      <c r="J51" s="12" t="s">
        <v>709</v>
      </c>
      <c r="K51" s="12" t="s">
        <v>98</v>
      </c>
      <c r="L51" s="12" t="s">
        <v>100</v>
      </c>
    </row>
    <row r="52">
      <c r="A52" s="11" t="s">
        <v>628</v>
      </c>
      <c r="B52" s="12" t="s">
        <v>632</v>
      </c>
      <c r="C52" s="12" t="s">
        <v>42</v>
      </c>
      <c r="D52" s="11" t="s">
        <v>634</v>
      </c>
      <c r="E52" s="14">
        <v>4.2</v>
      </c>
      <c r="F52" s="12">
        <v>70.0</v>
      </c>
      <c r="G52" s="12" t="s">
        <v>616</v>
      </c>
      <c r="H52" s="12" t="s">
        <v>636</v>
      </c>
      <c r="I52" s="15" t="str">
        <f>+91 98203 28487</f>
        <v>#ERROR!</v>
      </c>
      <c r="J52" s="12" t="s">
        <v>713</v>
      </c>
      <c r="K52" s="12" t="s">
        <v>98</v>
      </c>
      <c r="L52" s="12" t="s">
        <v>100</v>
      </c>
    </row>
    <row r="53">
      <c r="A53" s="12" t="s">
        <v>42</v>
      </c>
      <c r="B53" s="12" t="s">
        <v>643</v>
      </c>
      <c r="C53" s="11" t="s">
        <v>644</v>
      </c>
      <c r="D53" s="11" t="s">
        <v>646</v>
      </c>
      <c r="E53" s="14">
        <v>5.0</v>
      </c>
      <c r="F53" s="12">
        <v>34.0</v>
      </c>
      <c r="G53" s="12" t="s">
        <v>322</v>
      </c>
      <c r="H53" s="12" t="s">
        <v>648</v>
      </c>
      <c r="I53" s="15" t="str">
        <f>+91 80976 34572</f>
        <v>#ERROR!</v>
      </c>
      <c r="J53" s="12" t="s">
        <v>717</v>
      </c>
      <c r="K53" s="12" t="s">
        <v>98</v>
      </c>
      <c r="L53" s="12" t="s">
        <v>718</v>
      </c>
    </row>
    <row r="54">
      <c r="A54" s="11" t="s">
        <v>650</v>
      </c>
      <c r="B54" s="12" t="s">
        <v>652</v>
      </c>
      <c r="C54" s="11" t="s">
        <v>653</v>
      </c>
      <c r="D54" s="11" t="s">
        <v>654</v>
      </c>
      <c r="E54" s="14">
        <v>4.7</v>
      </c>
      <c r="F54" s="12">
        <v>108.0</v>
      </c>
      <c r="G54" s="12" t="s">
        <v>655</v>
      </c>
      <c r="H54" s="12" t="s">
        <v>656</v>
      </c>
      <c r="I54" s="15" t="str">
        <f>+91 93729 22067</f>
        <v>#ERROR!</v>
      </c>
      <c r="J54" s="15"/>
      <c r="K54" s="12" t="s">
        <v>118</v>
      </c>
      <c r="L54" s="12" t="s">
        <v>119</v>
      </c>
    </row>
    <row r="55">
      <c r="A55" s="11" t="s">
        <v>587</v>
      </c>
      <c r="B55" s="12" t="s">
        <v>583</v>
      </c>
      <c r="C55" s="12" t="s">
        <v>42</v>
      </c>
      <c r="D55" s="11" t="s">
        <v>580</v>
      </c>
      <c r="E55" s="14">
        <v>4.4</v>
      </c>
      <c r="F55" s="12">
        <v>158.0</v>
      </c>
      <c r="G55" s="12" t="s">
        <v>322</v>
      </c>
      <c r="H55" s="12" t="s">
        <v>586</v>
      </c>
      <c r="J55" s="15"/>
      <c r="K55" s="12" t="s">
        <v>98</v>
      </c>
      <c r="L55" s="12" t="s">
        <v>100</v>
      </c>
    </row>
    <row r="56">
      <c r="A56" s="12" t="s">
        <v>42</v>
      </c>
      <c r="B56" s="12" t="s">
        <v>170</v>
      </c>
      <c r="C56" s="12" t="s">
        <v>42</v>
      </c>
      <c r="D56" s="11" t="s">
        <v>169</v>
      </c>
      <c r="E56" s="14">
        <v>5.0</v>
      </c>
      <c r="F56" s="12">
        <v>98.0</v>
      </c>
      <c r="G56" s="12" t="s">
        <v>51</v>
      </c>
      <c r="H56" s="12" t="s">
        <v>171</v>
      </c>
      <c r="I56" s="15" t="str">
        <f>+91 98218 22843</f>
        <v>#ERROR!</v>
      </c>
      <c r="J56" s="12" t="s">
        <v>737</v>
      </c>
      <c r="K56" s="12" t="s">
        <v>148</v>
      </c>
      <c r="L56" s="12" t="s">
        <v>149</v>
      </c>
    </row>
    <row r="57">
      <c r="A57" s="11" t="s">
        <v>664</v>
      </c>
      <c r="B57" s="12" t="s">
        <v>666</v>
      </c>
      <c r="C57" s="12" t="s">
        <v>42</v>
      </c>
      <c r="D57" s="11" t="s">
        <v>667</v>
      </c>
      <c r="E57" s="14">
        <v>4.9</v>
      </c>
      <c r="F57" s="12">
        <v>101.0</v>
      </c>
      <c r="G57" s="12" t="s">
        <v>51</v>
      </c>
      <c r="H57" s="12" t="s">
        <v>670</v>
      </c>
      <c r="I57" s="15" t="str">
        <f>+91 97622 24740</f>
        <v>#ERROR!</v>
      </c>
      <c r="J57" s="12" t="s">
        <v>504</v>
      </c>
      <c r="K57" s="12" t="s">
        <v>98</v>
      </c>
      <c r="L57" s="12" t="s">
        <v>100</v>
      </c>
    </row>
    <row r="58">
      <c r="A58" s="11" t="s">
        <v>673</v>
      </c>
      <c r="B58" s="12" t="s">
        <v>677</v>
      </c>
      <c r="C58" s="12" t="s">
        <v>42</v>
      </c>
      <c r="D58" s="11" t="s">
        <v>678</v>
      </c>
      <c r="E58" s="14">
        <v>4.7</v>
      </c>
      <c r="F58" s="12">
        <v>102.0</v>
      </c>
      <c r="G58" s="12" t="s">
        <v>680</v>
      </c>
      <c r="H58" s="12" t="s">
        <v>681</v>
      </c>
      <c r="I58" s="15" t="str">
        <f>+91 80 6297 2766</f>
        <v>#ERROR!</v>
      </c>
      <c r="J58" s="12" t="s">
        <v>682</v>
      </c>
      <c r="K58" s="12" t="s">
        <v>98</v>
      </c>
      <c r="L58" s="12" t="s">
        <v>100</v>
      </c>
    </row>
    <row r="59">
      <c r="A59" s="12" t="s">
        <v>42</v>
      </c>
      <c r="B59" s="12" t="s">
        <v>143</v>
      </c>
      <c r="C59" s="12" t="s">
        <v>42</v>
      </c>
      <c r="D59" s="11" t="s">
        <v>140</v>
      </c>
      <c r="E59" s="14">
        <v>4.8</v>
      </c>
      <c r="F59" s="12">
        <v>41.0</v>
      </c>
      <c r="G59" s="12" t="s">
        <v>51</v>
      </c>
      <c r="H59" s="12" t="s">
        <v>145</v>
      </c>
      <c r="I59" s="15" t="str">
        <f>+91 87073 40438</f>
        <v>#ERROR!</v>
      </c>
      <c r="J59" s="12" t="s">
        <v>751</v>
      </c>
      <c r="K59" s="12" t="s">
        <v>148</v>
      </c>
      <c r="L59" s="12" t="s">
        <v>149</v>
      </c>
    </row>
    <row r="60">
      <c r="A60" s="11" t="s">
        <v>685</v>
      </c>
      <c r="B60" s="12" t="s">
        <v>688</v>
      </c>
      <c r="C60" s="11" t="s">
        <v>689</v>
      </c>
      <c r="D60" s="11" t="s">
        <v>692</v>
      </c>
      <c r="E60" s="14">
        <v>4.9</v>
      </c>
      <c r="F60" s="12">
        <v>68.0</v>
      </c>
      <c r="G60" s="12" t="s">
        <v>51</v>
      </c>
      <c r="H60" s="12" t="s">
        <v>694</v>
      </c>
      <c r="J60" s="12" t="s">
        <v>755</v>
      </c>
      <c r="K60" s="12" t="s">
        <v>118</v>
      </c>
      <c r="L60" s="12" t="s">
        <v>119</v>
      </c>
    </row>
    <row r="61">
      <c r="A61" s="11" t="s">
        <v>342</v>
      </c>
      <c r="B61" s="12" t="s">
        <v>337</v>
      </c>
      <c r="C61" s="12" t="s">
        <v>42</v>
      </c>
      <c r="D61" s="11" t="s">
        <v>331</v>
      </c>
      <c r="E61" s="14">
        <v>5.0</v>
      </c>
      <c r="F61" s="12">
        <v>110.0</v>
      </c>
      <c r="G61" s="12" t="s">
        <v>338</v>
      </c>
      <c r="H61" s="12" t="s">
        <v>340</v>
      </c>
      <c r="I61" s="15" t="str">
        <f>+91 72086 44271</f>
        <v>#ERROR!</v>
      </c>
      <c r="J61" s="12" t="s">
        <v>312</v>
      </c>
      <c r="K61" s="12" t="s">
        <v>98</v>
      </c>
      <c r="L61" s="12" t="s">
        <v>100</v>
      </c>
    </row>
    <row r="62">
      <c r="A62" s="11" t="s">
        <v>676</v>
      </c>
      <c r="B62" s="12" t="s">
        <v>672</v>
      </c>
      <c r="C62" s="11" t="s">
        <v>701</v>
      </c>
      <c r="D62" s="11" t="s">
        <v>669</v>
      </c>
      <c r="E62" s="14">
        <v>4.9</v>
      </c>
      <c r="F62" s="12">
        <v>352.0</v>
      </c>
      <c r="G62" s="12" t="s">
        <v>559</v>
      </c>
      <c r="H62" s="12" t="s">
        <v>674</v>
      </c>
      <c r="I62" s="15" t="str">
        <f>+91 99208 53204</f>
        <v>#ERROR!</v>
      </c>
      <c r="J62" s="12" t="s">
        <v>651</v>
      </c>
      <c r="K62" s="12" t="s">
        <v>118</v>
      </c>
      <c r="L62" s="12" t="s">
        <v>119</v>
      </c>
    </row>
    <row r="63">
      <c r="A63" s="11" t="s">
        <v>508</v>
      </c>
      <c r="B63" s="12" t="s">
        <v>505</v>
      </c>
      <c r="C63" s="11" t="s">
        <v>707</v>
      </c>
      <c r="D63" s="11" t="s">
        <v>501</v>
      </c>
      <c r="E63" s="14">
        <v>4.9</v>
      </c>
      <c r="F63" s="12">
        <v>111.0</v>
      </c>
      <c r="G63" s="12" t="s">
        <v>51</v>
      </c>
      <c r="H63" s="12" t="s">
        <v>506</v>
      </c>
      <c r="I63" s="15" t="str">
        <f>+91 86001 42241</f>
        <v>#ERROR!</v>
      </c>
      <c r="J63" s="12" t="s">
        <v>475</v>
      </c>
      <c r="K63" s="12" t="s">
        <v>118</v>
      </c>
      <c r="L63" s="12" t="s">
        <v>119</v>
      </c>
    </row>
    <row r="64">
      <c r="A64" s="11" t="s">
        <v>645</v>
      </c>
      <c r="B64" s="12" t="s">
        <v>637</v>
      </c>
      <c r="C64" s="11" t="s">
        <v>714</v>
      </c>
      <c r="D64" s="11" t="s">
        <v>635</v>
      </c>
      <c r="E64" s="14">
        <v>4.8</v>
      </c>
      <c r="F64" s="12">
        <v>317.0</v>
      </c>
      <c r="G64" s="12" t="s">
        <v>640</v>
      </c>
      <c r="H64" s="12" t="s">
        <v>641</v>
      </c>
      <c r="I64" s="15" t="str">
        <f>+91 70453 13773</f>
        <v>#ERROR!</v>
      </c>
      <c r="J64" s="12" t="s">
        <v>770</v>
      </c>
      <c r="K64" s="12" t="s">
        <v>118</v>
      </c>
      <c r="L64" s="12" t="s">
        <v>119</v>
      </c>
    </row>
    <row r="65">
      <c r="A65" s="12" t="s">
        <v>42</v>
      </c>
      <c r="B65" s="12" t="s">
        <v>715</v>
      </c>
      <c r="C65" s="12" t="s">
        <v>42</v>
      </c>
      <c r="D65" s="11" t="s">
        <v>716</v>
      </c>
      <c r="E65" s="14">
        <v>4.9</v>
      </c>
      <c r="F65" s="12">
        <v>28.0</v>
      </c>
      <c r="G65" s="12" t="s">
        <v>181</v>
      </c>
      <c r="H65" s="12" t="s">
        <v>719</v>
      </c>
      <c r="I65" s="15" t="str">
        <f>+91 93216 55045</f>
        <v>#ERROR!</v>
      </c>
      <c r="J65" s="12" t="s">
        <v>721</v>
      </c>
      <c r="K65" s="12" t="s">
        <v>148</v>
      </c>
      <c r="L65" s="12" t="s">
        <v>149</v>
      </c>
    </row>
    <row r="66">
      <c r="A66" s="12" t="s">
        <v>42</v>
      </c>
      <c r="B66" s="12" t="s">
        <v>697</v>
      </c>
      <c r="C66" s="12" t="s">
        <v>42</v>
      </c>
      <c r="D66" s="11" t="s">
        <v>696</v>
      </c>
      <c r="E66" s="14">
        <v>4.7</v>
      </c>
      <c r="F66" s="12">
        <v>50.0</v>
      </c>
      <c r="G66" s="12" t="s">
        <v>192</v>
      </c>
      <c r="H66" s="12" t="s">
        <v>698</v>
      </c>
      <c r="I66" s="15" t="str">
        <f>+91 99303 59910</f>
        <v>#ERROR!</v>
      </c>
      <c r="J66" s="12" t="s">
        <v>779</v>
      </c>
      <c r="K66" s="12" t="s">
        <v>148</v>
      </c>
      <c r="L66" s="12" t="s">
        <v>149</v>
      </c>
    </row>
    <row r="67">
      <c r="A67" s="11" t="s">
        <v>723</v>
      </c>
      <c r="B67" s="12" t="s">
        <v>725</v>
      </c>
      <c r="C67" s="12" t="s">
        <v>42</v>
      </c>
      <c r="D67" s="11" t="s">
        <v>726</v>
      </c>
      <c r="E67" s="14">
        <v>4.5</v>
      </c>
      <c r="F67" s="12">
        <v>138.0</v>
      </c>
      <c r="G67" s="12" t="s">
        <v>728</v>
      </c>
      <c r="H67" s="12" t="s">
        <v>729</v>
      </c>
      <c r="I67" s="15" t="str">
        <f>+91 90825 25060</f>
        <v>#ERROR!</v>
      </c>
      <c r="J67" s="12" t="s">
        <v>784</v>
      </c>
      <c r="K67" s="12" t="s">
        <v>98</v>
      </c>
      <c r="L67" s="12" t="s">
        <v>100</v>
      </c>
    </row>
    <row r="68">
      <c r="A68" s="12" t="s">
        <v>42</v>
      </c>
      <c r="B68" s="12" t="s">
        <v>204</v>
      </c>
      <c r="C68" s="12" t="s">
        <v>42</v>
      </c>
      <c r="D68" s="11" t="s">
        <v>201</v>
      </c>
      <c r="E68" s="14">
        <v>4.8</v>
      </c>
      <c r="F68" s="12">
        <v>512.0</v>
      </c>
      <c r="G68" s="12" t="s">
        <v>192</v>
      </c>
      <c r="H68" s="12" t="s">
        <v>205</v>
      </c>
      <c r="I68" s="15" t="str">
        <f>+91 85915 94849</f>
        <v>#ERROR!</v>
      </c>
      <c r="J68" s="12" t="s">
        <v>183</v>
      </c>
      <c r="K68" s="12" t="s">
        <v>148</v>
      </c>
      <c r="L68" s="12" t="s">
        <v>149</v>
      </c>
    </row>
    <row r="69">
      <c r="A69" s="11" t="s">
        <v>497</v>
      </c>
      <c r="B69" s="12" t="s">
        <v>491</v>
      </c>
      <c r="C69" s="11" t="s">
        <v>736</v>
      </c>
      <c r="D69" s="11" t="s">
        <v>488</v>
      </c>
      <c r="E69" s="14">
        <v>4.9</v>
      </c>
      <c r="F69" s="12">
        <v>455.0</v>
      </c>
      <c r="G69" s="12" t="s">
        <v>115</v>
      </c>
      <c r="H69" s="12" t="s">
        <v>492</v>
      </c>
      <c r="I69" s="15" t="str">
        <f>+91 86521 00501</f>
        <v>#ERROR!</v>
      </c>
      <c r="J69" s="12" t="s">
        <v>469</v>
      </c>
      <c r="K69" s="12" t="s">
        <v>118</v>
      </c>
      <c r="L69" s="12" t="s">
        <v>119</v>
      </c>
    </row>
    <row r="70">
      <c r="A70" s="11" t="s">
        <v>734</v>
      </c>
      <c r="B70" s="12" t="s">
        <v>730</v>
      </c>
      <c r="C70" s="12" t="s">
        <v>42</v>
      </c>
      <c r="D70" s="11" t="s">
        <v>727</v>
      </c>
      <c r="E70" s="14">
        <v>4.8</v>
      </c>
      <c r="F70" s="12">
        <v>96.0</v>
      </c>
      <c r="G70" s="12" t="s">
        <v>51</v>
      </c>
      <c r="H70" s="12" t="s">
        <v>732</v>
      </c>
      <c r="I70" s="15" t="str">
        <f>+91 80805 41654</f>
        <v>#ERROR!</v>
      </c>
      <c r="J70" s="12" t="s">
        <v>795</v>
      </c>
      <c r="K70" s="12" t="s">
        <v>98</v>
      </c>
      <c r="L70" s="12" t="s">
        <v>100</v>
      </c>
    </row>
    <row r="71">
      <c r="A71" s="11" t="s">
        <v>620</v>
      </c>
      <c r="B71" s="12" t="s">
        <v>615</v>
      </c>
      <c r="C71" s="11" t="s">
        <v>745</v>
      </c>
      <c r="D71" s="11" t="s">
        <v>613</v>
      </c>
      <c r="E71" s="14">
        <v>5.0</v>
      </c>
      <c r="F71" s="12">
        <v>33.0</v>
      </c>
      <c r="G71" s="12" t="s">
        <v>616</v>
      </c>
      <c r="H71" s="12" t="s">
        <v>617</v>
      </c>
      <c r="I71" s="15" t="str">
        <f>+91 97131 33555</f>
        <v>#ERROR!</v>
      </c>
      <c r="J71" s="12" t="s">
        <v>803</v>
      </c>
      <c r="K71" s="12" t="s">
        <v>118</v>
      </c>
      <c r="L71" s="12" t="s">
        <v>119</v>
      </c>
    </row>
    <row r="72">
      <c r="A72" s="12" t="s">
        <v>42</v>
      </c>
      <c r="B72" s="12" t="s">
        <v>629</v>
      </c>
      <c r="C72" s="12" t="s">
        <v>42</v>
      </c>
      <c r="D72" s="11" t="s">
        <v>624</v>
      </c>
      <c r="E72" s="14">
        <v>4.9</v>
      </c>
      <c r="F72" s="12">
        <v>41.0</v>
      </c>
      <c r="G72" s="12" t="s">
        <v>51</v>
      </c>
      <c r="H72" s="12" t="s">
        <v>630</v>
      </c>
      <c r="I72" s="15" t="str">
        <f>+91 98198 25258</f>
        <v>#ERROR!</v>
      </c>
      <c r="J72" s="12" t="s">
        <v>811</v>
      </c>
      <c r="K72" s="12" t="s">
        <v>148</v>
      </c>
      <c r="L72" s="12" t="s">
        <v>149</v>
      </c>
    </row>
    <row r="73">
      <c r="A73" s="11" t="s">
        <v>752</v>
      </c>
      <c r="B73" s="12" t="s">
        <v>753</v>
      </c>
      <c r="C73" s="11" t="s">
        <v>754</v>
      </c>
      <c r="D73" s="11" t="s">
        <v>756</v>
      </c>
      <c r="E73" s="14">
        <v>4.7</v>
      </c>
      <c r="F73" s="12">
        <v>421.0</v>
      </c>
      <c r="G73" s="12" t="s">
        <v>83</v>
      </c>
      <c r="H73" s="12" t="s">
        <v>757</v>
      </c>
      <c r="I73" s="15" t="str">
        <f>+91 22 2773 6901</f>
        <v>#ERROR!</v>
      </c>
      <c r="J73" s="15"/>
      <c r="K73" s="12" t="s">
        <v>118</v>
      </c>
      <c r="L73" s="12" t="s">
        <v>119</v>
      </c>
    </row>
    <row r="74">
      <c r="A74" s="11" t="s">
        <v>297</v>
      </c>
      <c r="B74" s="12" t="s">
        <v>293</v>
      </c>
      <c r="C74" s="11" t="s">
        <v>759</v>
      </c>
      <c r="D74" s="11" t="s">
        <v>289</v>
      </c>
      <c r="E74" s="14">
        <v>4.5</v>
      </c>
      <c r="F74" s="12">
        <v>1794.0</v>
      </c>
      <c r="G74" s="12" t="s">
        <v>278</v>
      </c>
      <c r="H74" s="12" t="s">
        <v>294</v>
      </c>
      <c r="I74" s="15" t="str">
        <f>+91 89895 85050</f>
        <v>#ERROR!</v>
      </c>
      <c r="J74" s="12" t="s">
        <v>274</v>
      </c>
      <c r="K74" s="12" t="s">
        <v>118</v>
      </c>
      <c r="L74" s="12" t="s">
        <v>119</v>
      </c>
    </row>
    <row r="75">
      <c r="A75" s="12" t="s">
        <v>42</v>
      </c>
      <c r="B75" s="12" t="s">
        <v>49</v>
      </c>
      <c r="C75" s="12" t="s">
        <v>42</v>
      </c>
      <c r="D75" s="11" t="s">
        <v>36</v>
      </c>
      <c r="E75" s="14">
        <v>5.0</v>
      </c>
      <c r="F75" s="12">
        <v>9.0</v>
      </c>
      <c r="G75" s="12" t="s">
        <v>51</v>
      </c>
      <c r="H75" s="12" t="s">
        <v>53</v>
      </c>
      <c r="I75" s="15" t="str">
        <f>+91 87793 87362</f>
        <v>#ERROR!</v>
      </c>
      <c r="J75" s="15"/>
      <c r="K75" s="12" t="s">
        <v>148</v>
      </c>
      <c r="L75" s="12" t="s">
        <v>149</v>
      </c>
    </row>
    <row r="76">
      <c r="A76" s="12" t="s">
        <v>42</v>
      </c>
      <c r="B76" s="12" t="s">
        <v>72</v>
      </c>
      <c r="C76" s="12" t="s">
        <v>42</v>
      </c>
      <c r="D76" s="11" t="s">
        <v>68</v>
      </c>
      <c r="E76" s="14">
        <v>5.0</v>
      </c>
      <c r="F76" s="12">
        <v>71.0</v>
      </c>
      <c r="G76" s="12" t="s">
        <v>74</v>
      </c>
      <c r="H76" s="12" t="s">
        <v>76</v>
      </c>
      <c r="I76" s="15" t="str">
        <f>+91 91372 08535</f>
        <v>#ERROR!</v>
      </c>
      <c r="J76" s="15"/>
      <c r="K76" s="12" t="s">
        <v>148</v>
      </c>
      <c r="L76" s="12" t="s">
        <v>149</v>
      </c>
    </row>
    <row r="77">
      <c r="A77" s="12" t="s">
        <v>42</v>
      </c>
      <c r="B77" s="12" t="s">
        <v>241</v>
      </c>
      <c r="C77" s="12" t="s">
        <v>42</v>
      </c>
      <c r="D77" s="11" t="s">
        <v>239</v>
      </c>
      <c r="E77" s="14">
        <v>4.4</v>
      </c>
      <c r="F77" s="12">
        <v>15.0</v>
      </c>
      <c r="G77" s="12" t="s">
        <v>51</v>
      </c>
      <c r="H77" s="12" t="s">
        <v>242</v>
      </c>
      <c r="I77" s="15" t="str">
        <f>+91 99200 84451</f>
        <v>#ERROR!</v>
      </c>
      <c r="J77" s="12" t="s">
        <v>217</v>
      </c>
      <c r="K77" s="12" t="s">
        <v>148</v>
      </c>
      <c r="L77" s="12" t="s">
        <v>149</v>
      </c>
    </row>
    <row r="78">
      <c r="A78" s="11" t="s">
        <v>528</v>
      </c>
      <c r="B78" s="12" t="s">
        <v>519</v>
      </c>
      <c r="C78" s="11" t="s">
        <v>772</v>
      </c>
      <c r="D78" s="11" t="s">
        <v>516</v>
      </c>
      <c r="E78" s="14">
        <v>5.0</v>
      </c>
      <c r="F78" s="12">
        <v>1074.0</v>
      </c>
      <c r="G78" s="12" t="s">
        <v>520</v>
      </c>
      <c r="H78" s="12" t="s">
        <v>524</v>
      </c>
      <c r="I78" s="15" t="str">
        <f>+91 86550 73438</f>
        <v>#ERROR!</v>
      </c>
      <c r="J78" s="12" t="s">
        <v>833</v>
      </c>
      <c r="K78" s="12" t="s">
        <v>118</v>
      </c>
      <c r="L78" s="12" t="s">
        <v>119</v>
      </c>
    </row>
    <row r="79">
      <c r="A79" s="11" t="s">
        <v>255</v>
      </c>
      <c r="B79" s="12" t="s">
        <v>249</v>
      </c>
      <c r="C79" s="11" t="s">
        <v>778</v>
      </c>
      <c r="D79" s="11" t="s">
        <v>246</v>
      </c>
      <c r="E79" s="14">
        <v>4.9</v>
      </c>
      <c r="F79" s="12">
        <v>537.0</v>
      </c>
      <c r="G79" s="12" t="s">
        <v>51</v>
      </c>
      <c r="H79" s="12" t="s">
        <v>252</v>
      </c>
      <c r="I79" s="15" t="str">
        <f>+91 85911 26927</f>
        <v>#ERROR!</v>
      </c>
      <c r="J79" s="12" t="s">
        <v>841</v>
      </c>
      <c r="K79" s="12" t="s">
        <v>118</v>
      </c>
      <c r="L79" s="12" t="s">
        <v>119</v>
      </c>
    </row>
    <row r="80">
      <c r="A80" s="12" t="s">
        <v>42</v>
      </c>
      <c r="B80" s="12" t="s">
        <v>101</v>
      </c>
      <c r="C80" s="12" t="s">
        <v>42</v>
      </c>
      <c r="D80" s="11" t="s">
        <v>97</v>
      </c>
      <c r="E80" s="14">
        <v>5.0</v>
      </c>
      <c r="F80" s="12">
        <v>29.0</v>
      </c>
      <c r="G80" s="12" t="s">
        <v>51</v>
      </c>
      <c r="H80" s="12" t="s">
        <v>103</v>
      </c>
      <c r="I80" s="15" t="str">
        <f>+91 93232 05179</f>
        <v>#ERROR!</v>
      </c>
      <c r="J80" s="12" t="s">
        <v>79</v>
      </c>
      <c r="K80" s="12" t="s">
        <v>148</v>
      </c>
      <c r="L80" s="12" t="s">
        <v>149</v>
      </c>
    </row>
    <row r="81">
      <c r="A81" s="12" t="s">
        <v>42</v>
      </c>
      <c r="B81" s="12" t="s">
        <v>781</v>
      </c>
      <c r="C81" s="12" t="s">
        <v>42</v>
      </c>
      <c r="D81" s="11" t="s">
        <v>783</v>
      </c>
      <c r="E81" s="14">
        <v>4.9</v>
      </c>
      <c r="F81" s="12">
        <v>64.0</v>
      </c>
      <c r="G81" s="12" t="s">
        <v>51</v>
      </c>
      <c r="H81" s="12" t="s">
        <v>788</v>
      </c>
      <c r="I81" s="15" t="str">
        <f>+91 98191 12424</f>
        <v>#ERROR!</v>
      </c>
      <c r="J81" s="12" t="s">
        <v>790</v>
      </c>
      <c r="K81" s="12" t="s">
        <v>148</v>
      </c>
      <c r="L81" s="12" t="s">
        <v>149</v>
      </c>
    </row>
    <row r="82">
      <c r="A82" s="11" t="s">
        <v>693</v>
      </c>
      <c r="B82" s="12" t="s">
        <v>687</v>
      </c>
      <c r="C82" s="11" t="s">
        <v>791</v>
      </c>
      <c r="D82" s="11" t="s">
        <v>684</v>
      </c>
      <c r="E82" s="14">
        <v>4.6</v>
      </c>
      <c r="F82" s="12">
        <v>9100.0</v>
      </c>
      <c r="G82" s="12" t="s">
        <v>86</v>
      </c>
      <c r="H82" s="12" t="s">
        <v>52</v>
      </c>
      <c r="I82" s="15" t="str">
        <f>+91 22 7197 9797</f>
        <v>#ERROR!</v>
      </c>
      <c r="J82" s="12" t="s">
        <v>662</v>
      </c>
      <c r="K82" s="12" t="s">
        <v>118</v>
      </c>
      <c r="L82" s="12" t="s">
        <v>119</v>
      </c>
    </row>
    <row r="83">
      <c r="A83" s="11" t="s">
        <v>163</v>
      </c>
      <c r="B83" s="12" t="s">
        <v>158</v>
      </c>
      <c r="C83" s="12" t="s">
        <v>42</v>
      </c>
      <c r="D83" s="11" t="s">
        <v>151</v>
      </c>
      <c r="E83" s="14">
        <v>4.8</v>
      </c>
      <c r="F83" s="12">
        <v>4169.0</v>
      </c>
      <c r="G83" s="12" t="s">
        <v>86</v>
      </c>
      <c r="H83" s="12" t="s">
        <v>159</v>
      </c>
      <c r="I83" s="15" t="str">
        <f>+91 83559 61073</f>
        <v>#ERROR!</v>
      </c>
      <c r="J83" s="12" t="s">
        <v>139</v>
      </c>
      <c r="K83" s="12" t="s">
        <v>98</v>
      </c>
      <c r="L83" s="12" t="s">
        <v>100</v>
      </c>
    </row>
    <row r="84">
      <c r="A84" s="11" t="s">
        <v>792</v>
      </c>
      <c r="B84" s="12" t="s">
        <v>793</v>
      </c>
      <c r="C84" s="12" t="s">
        <v>42</v>
      </c>
      <c r="D84" s="11" t="s">
        <v>794</v>
      </c>
      <c r="E84" s="14">
        <v>4.8</v>
      </c>
      <c r="F84" s="12">
        <v>1118.0</v>
      </c>
      <c r="G84" s="12" t="s">
        <v>298</v>
      </c>
      <c r="H84" s="12" t="s">
        <v>796</v>
      </c>
      <c r="I84" s="15" t="str">
        <f>+91 96196 38464</f>
        <v>#ERROR!</v>
      </c>
      <c r="J84" s="12" t="s">
        <v>798</v>
      </c>
      <c r="K84" s="12" t="s">
        <v>98</v>
      </c>
      <c r="L84" s="12" t="s">
        <v>100</v>
      </c>
    </row>
    <row r="85">
      <c r="A85" s="11" t="s">
        <v>799</v>
      </c>
      <c r="B85" s="12" t="s">
        <v>801</v>
      </c>
      <c r="C85" s="12" t="s">
        <v>42</v>
      </c>
      <c r="D85" s="11" t="s">
        <v>802</v>
      </c>
      <c r="E85" s="14">
        <v>4.4</v>
      </c>
      <c r="F85" s="12">
        <v>3488.0</v>
      </c>
      <c r="G85" s="12" t="s">
        <v>278</v>
      </c>
      <c r="H85" s="12" t="s">
        <v>804</v>
      </c>
      <c r="I85" s="15" t="str">
        <f>+91 1800 266 5456</f>
        <v>#ERROR!</v>
      </c>
      <c r="J85" s="12" t="s">
        <v>806</v>
      </c>
      <c r="K85" s="12" t="s">
        <v>98</v>
      </c>
      <c r="L85" s="12" t="s">
        <v>100</v>
      </c>
    </row>
    <row r="86">
      <c r="A86" s="11" t="s">
        <v>807</v>
      </c>
      <c r="B86" s="12" t="s">
        <v>808</v>
      </c>
      <c r="C86" s="11" t="s">
        <v>809</v>
      </c>
      <c r="D86" s="11" t="s">
        <v>810</v>
      </c>
      <c r="E86" s="14">
        <v>4.7</v>
      </c>
      <c r="F86" s="12">
        <v>5380.0</v>
      </c>
      <c r="G86" s="12" t="s">
        <v>298</v>
      </c>
      <c r="H86" s="12" t="s">
        <v>808</v>
      </c>
      <c r="I86" s="15" t="str">
        <f>+91 84948 00094</f>
        <v>#ERROR!</v>
      </c>
      <c r="J86" s="12" t="s">
        <v>852</v>
      </c>
      <c r="K86" s="12" t="s">
        <v>118</v>
      </c>
      <c r="L86" s="12" t="s">
        <v>119</v>
      </c>
    </row>
    <row r="87">
      <c r="A87" s="11" t="s">
        <v>815</v>
      </c>
      <c r="B87" s="12" t="s">
        <v>816</v>
      </c>
      <c r="C87" s="12" t="s">
        <v>42</v>
      </c>
      <c r="D87" s="11" t="s">
        <v>817</v>
      </c>
      <c r="E87" s="14">
        <v>4.3</v>
      </c>
      <c r="F87" s="12">
        <v>1293.0</v>
      </c>
      <c r="G87" s="12" t="s">
        <v>86</v>
      </c>
      <c r="H87" s="12" t="s">
        <v>818</v>
      </c>
      <c r="I87" s="15" t="str">
        <f>+91 95136 31880</f>
        <v>#ERROR!</v>
      </c>
      <c r="J87" s="15"/>
      <c r="K87" s="12" t="s">
        <v>98</v>
      </c>
      <c r="L87" s="12" t="s">
        <v>100</v>
      </c>
    </row>
    <row r="88">
      <c r="A88" s="12" t="s">
        <v>42</v>
      </c>
      <c r="B88" s="12" t="s">
        <v>820</v>
      </c>
      <c r="C88" s="12" t="s">
        <v>42</v>
      </c>
      <c r="D88" s="11" t="s">
        <v>821</v>
      </c>
      <c r="E88" s="14">
        <v>4.9</v>
      </c>
      <c r="F88" s="12">
        <v>35.0</v>
      </c>
      <c r="G88" s="12" t="s">
        <v>51</v>
      </c>
      <c r="H88" s="12" t="s">
        <v>822</v>
      </c>
      <c r="J88" s="15"/>
      <c r="K88" s="12" t="s">
        <v>148</v>
      </c>
      <c r="L88" s="12" t="s">
        <v>149</v>
      </c>
    </row>
    <row r="89">
      <c r="A89" s="11" t="s">
        <v>787</v>
      </c>
      <c r="B89" s="12" t="s">
        <v>782</v>
      </c>
      <c r="C89" s="12" t="s">
        <v>42</v>
      </c>
      <c r="D89" s="11" t="s">
        <v>780</v>
      </c>
      <c r="E89" s="14">
        <v>4.4</v>
      </c>
      <c r="F89" s="12">
        <v>27.0</v>
      </c>
      <c r="G89" s="12" t="s">
        <v>115</v>
      </c>
      <c r="H89" s="12" t="s">
        <v>785</v>
      </c>
      <c r="I89" s="15" t="str">
        <f>+91 77383 12284</f>
        <v>#ERROR!</v>
      </c>
      <c r="J89" s="15"/>
      <c r="K89" s="12" t="s">
        <v>98</v>
      </c>
      <c r="L89" s="12" t="s">
        <v>100</v>
      </c>
    </row>
    <row r="90">
      <c r="A90" s="11" t="s">
        <v>597</v>
      </c>
      <c r="B90" s="12" t="s">
        <v>593</v>
      </c>
      <c r="C90" s="11" t="s">
        <v>823</v>
      </c>
      <c r="D90" s="11" t="s">
        <v>591</v>
      </c>
      <c r="E90" s="14">
        <v>5.0</v>
      </c>
      <c r="F90" s="12">
        <v>190.0</v>
      </c>
      <c r="G90" s="12" t="s">
        <v>192</v>
      </c>
      <c r="H90" s="12" t="s">
        <v>595</v>
      </c>
      <c r="I90" s="15" t="str">
        <f>+91 91378 02933</f>
        <v>#ERROR!</v>
      </c>
      <c r="J90" s="12" t="s">
        <v>565</v>
      </c>
      <c r="K90" s="12" t="s">
        <v>118</v>
      </c>
      <c r="L90" s="12" t="s">
        <v>119</v>
      </c>
    </row>
    <row r="91">
      <c r="A91" s="11" t="s">
        <v>393</v>
      </c>
      <c r="B91" s="12" t="s">
        <v>388</v>
      </c>
      <c r="C91" s="12" t="s">
        <v>42</v>
      </c>
      <c r="D91" s="11" t="s">
        <v>385</v>
      </c>
      <c r="E91" s="14">
        <v>4.9</v>
      </c>
      <c r="F91" s="12">
        <v>286.0</v>
      </c>
      <c r="G91" s="12" t="s">
        <v>51</v>
      </c>
      <c r="H91" s="12" t="s">
        <v>390</v>
      </c>
      <c r="I91" s="15" t="str">
        <f>+91 77100 77873</f>
        <v>#ERROR!</v>
      </c>
      <c r="J91" s="12" t="s">
        <v>868</v>
      </c>
      <c r="K91" s="12" t="s">
        <v>98</v>
      </c>
      <c r="L91" s="12" t="s">
        <v>100</v>
      </c>
    </row>
    <row r="92">
      <c r="A92" s="12" t="s">
        <v>42</v>
      </c>
      <c r="B92" s="12" t="s">
        <v>436</v>
      </c>
      <c r="C92" s="12" t="s">
        <v>42</v>
      </c>
      <c r="D92" s="11" t="s">
        <v>434</v>
      </c>
      <c r="E92" s="14">
        <v>5.0</v>
      </c>
      <c r="F92" s="12">
        <v>1.0</v>
      </c>
      <c r="G92" s="12" t="s">
        <v>51</v>
      </c>
      <c r="H92" s="12" t="s">
        <v>437</v>
      </c>
      <c r="I92" s="15" t="str">
        <f>+91 76667 62557</f>
        <v>#ERROR!</v>
      </c>
      <c r="J92" s="12" t="s">
        <v>870</v>
      </c>
      <c r="K92" s="12" t="s">
        <v>148</v>
      </c>
      <c r="L92" s="12" t="s">
        <v>149</v>
      </c>
    </row>
    <row r="93">
      <c r="A93" s="11" t="s">
        <v>743</v>
      </c>
      <c r="B93" s="12" t="s">
        <v>739</v>
      </c>
      <c r="C93" s="11" t="s">
        <v>829</v>
      </c>
      <c r="D93" s="11" t="s">
        <v>738</v>
      </c>
      <c r="E93" s="14">
        <v>4.8</v>
      </c>
      <c r="F93" s="12">
        <v>459.0</v>
      </c>
      <c r="G93" s="12" t="s">
        <v>740</v>
      </c>
      <c r="H93" s="12" t="s">
        <v>741</v>
      </c>
      <c r="I93" s="15" t="str">
        <f>+91 70455 08488</f>
        <v>#ERROR!</v>
      </c>
      <c r="J93" s="15"/>
      <c r="K93" s="12" t="s">
        <v>118</v>
      </c>
      <c r="L93" s="12" t="s">
        <v>119</v>
      </c>
    </row>
    <row r="94">
      <c r="A94" s="11" t="s">
        <v>830</v>
      </c>
      <c r="B94" s="12" t="s">
        <v>831</v>
      </c>
      <c r="C94" s="11" t="s">
        <v>832</v>
      </c>
      <c r="D94" s="11" t="s">
        <v>834</v>
      </c>
      <c r="E94" s="14">
        <v>4.9</v>
      </c>
      <c r="F94" s="12">
        <v>1394.0</v>
      </c>
      <c r="G94" s="12" t="s">
        <v>837</v>
      </c>
      <c r="H94" s="12" t="s">
        <v>838</v>
      </c>
      <c r="I94" s="15" t="str">
        <f>+91 89767 44432</f>
        <v>#ERROR!</v>
      </c>
      <c r="J94" s="12" t="s">
        <v>875</v>
      </c>
      <c r="K94" s="12" t="s">
        <v>118</v>
      </c>
      <c r="L94" s="12" t="s">
        <v>119</v>
      </c>
    </row>
    <row r="95">
      <c r="A95" s="11" t="s">
        <v>127</v>
      </c>
      <c r="B95" s="12" t="s">
        <v>113</v>
      </c>
      <c r="C95" s="11" t="s">
        <v>842</v>
      </c>
      <c r="D95" s="11" t="s">
        <v>110</v>
      </c>
      <c r="E95" s="14">
        <v>4.8</v>
      </c>
      <c r="F95" s="12">
        <v>241.0</v>
      </c>
      <c r="G95" s="12" t="s">
        <v>115</v>
      </c>
      <c r="H95" s="12" t="s">
        <v>121</v>
      </c>
      <c r="I95" s="15" t="str">
        <f>+91 90824 00043</f>
        <v>#ERROR!</v>
      </c>
      <c r="J95" s="12" t="s">
        <v>92</v>
      </c>
      <c r="K95" s="12" t="s">
        <v>118</v>
      </c>
      <c r="L95" s="12" t="s">
        <v>119</v>
      </c>
    </row>
    <row r="96">
      <c r="A96" s="12" t="s">
        <v>42</v>
      </c>
      <c r="B96" s="12" t="s">
        <v>351</v>
      </c>
      <c r="C96" s="12" t="s">
        <v>42</v>
      </c>
      <c r="D96" s="11" t="s">
        <v>347</v>
      </c>
      <c r="E96" s="14">
        <v>4.8</v>
      </c>
      <c r="F96" s="12">
        <v>25.0</v>
      </c>
      <c r="G96" s="12" t="s">
        <v>74</v>
      </c>
      <c r="H96" s="12" t="s">
        <v>352</v>
      </c>
      <c r="I96" s="15" t="str">
        <f>+91 88502 24001</f>
        <v>#ERROR!</v>
      </c>
      <c r="J96" s="12" t="s">
        <v>880</v>
      </c>
      <c r="K96" s="12" t="s">
        <v>148</v>
      </c>
      <c r="L96" s="12" t="s">
        <v>149</v>
      </c>
    </row>
    <row r="97">
      <c r="A97" s="11" t="s">
        <v>431</v>
      </c>
      <c r="B97" s="12" t="s">
        <v>425</v>
      </c>
      <c r="C97" s="11" t="s">
        <v>843</v>
      </c>
      <c r="D97" s="11" t="s">
        <v>422</v>
      </c>
      <c r="E97" s="14">
        <v>4.9</v>
      </c>
      <c r="F97" s="12">
        <v>118.0</v>
      </c>
      <c r="G97" s="12" t="s">
        <v>330</v>
      </c>
      <c r="H97" s="12" t="s">
        <v>426</v>
      </c>
      <c r="I97" s="15" t="str">
        <f>+91 86920 99967</f>
        <v>#ERROR!</v>
      </c>
      <c r="J97" s="12" t="s">
        <v>885</v>
      </c>
      <c r="K97" s="12" t="s">
        <v>118</v>
      </c>
      <c r="L97" s="12" t="s">
        <v>119</v>
      </c>
    </row>
    <row r="98">
      <c r="A98" s="11" t="s">
        <v>572</v>
      </c>
      <c r="B98" s="12" t="s">
        <v>569</v>
      </c>
      <c r="C98" s="11" t="s">
        <v>844</v>
      </c>
      <c r="D98" s="11" t="s">
        <v>566</v>
      </c>
      <c r="E98" s="14">
        <v>4.7</v>
      </c>
      <c r="F98" s="12">
        <v>409.0</v>
      </c>
      <c r="G98" s="12" t="s">
        <v>322</v>
      </c>
      <c r="H98" s="12" t="s">
        <v>570</v>
      </c>
      <c r="I98" s="15" t="str">
        <f>+91 88506 61962</f>
        <v>#ERROR!</v>
      </c>
      <c r="J98" s="12" t="s">
        <v>527</v>
      </c>
      <c r="K98" s="12" t="s">
        <v>118</v>
      </c>
      <c r="L98" s="12" t="s">
        <v>119</v>
      </c>
    </row>
    <row r="99">
      <c r="A99" s="11" t="s">
        <v>417</v>
      </c>
      <c r="B99" s="12" t="s">
        <v>414</v>
      </c>
      <c r="C99" s="11" t="s">
        <v>848</v>
      </c>
      <c r="D99" s="11" t="s">
        <v>410</v>
      </c>
      <c r="E99" s="14">
        <v>5.0</v>
      </c>
      <c r="F99" s="12">
        <v>54.0</v>
      </c>
      <c r="G99" s="12" t="s">
        <v>192</v>
      </c>
      <c r="H99" s="12" t="s">
        <v>415</v>
      </c>
      <c r="I99" s="15" t="str">
        <f>+91 84509 59496</f>
        <v>#ERROR!</v>
      </c>
      <c r="J99" s="12" t="s">
        <v>392</v>
      </c>
      <c r="K99" s="12" t="s">
        <v>118</v>
      </c>
      <c r="L99" s="12" t="s">
        <v>119</v>
      </c>
    </row>
    <row r="100">
      <c r="A100" s="11" t="s">
        <v>828</v>
      </c>
      <c r="B100" s="12" t="s">
        <v>825</v>
      </c>
      <c r="C100" s="11" t="s">
        <v>851</v>
      </c>
      <c r="D100" s="11" t="s">
        <v>824</v>
      </c>
      <c r="E100" s="14">
        <v>4.8</v>
      </c>
      <c r="F100" s="12">
        <v>2651.0</v>
      </c>
      <c r="G100" s="12" t="s">
        <v>102</v>
      </c>
      <c r="H100" s="12" t="s">
        <v>826</v>
      </c>
      <c r="I100" s="15" t="str">
        <f>+91 82918 49572</f>
        <v>#ERROR!</v>
      </c>
      <c r="J100" s="12" t="s">
        <v>504</v>
      </c>
      <c r="K100" s="12" t="s">
        <v>118</v>
      </c>
      <c r="L100" s="12" t="s">
        <v>119</v>
      </c>
    </row>
    <row r="101">
      <c r="A101" s="12" t="s">
        <v>42</v>
      </c>
      <c r="B101" s="12" t="s">
        <v>483</v>
      </c>
      <c r="C101" s="12" t="s">
        <v>42</v>
      </c>
      <c r="D101" s="11" t="s">
        <v>478</v>
      </c>
      <c r="E101" s="14">
        <v>5.0</v>
      </c>
      <c r="F101" s="12">
        <v>11.0</v>
      </c>
      <c r="G101" s="12" t="s">
        <v>102</v>
      </c>
      <c r="H101" s="12" t="s">
        <v>484</v>
      </c>
      <c r="I101" s="15" t="str">
        <f>+91 98920 01920</f>
        <v>#ERROR!</v>
      </c>
      <c r="J101" s="12" t="s">
        <v>891</v>
      </c>
      <c r="K101" s="12" t="s">
        <v>148</v>
      </c>
      <c r="L101" s="12" t="s">
        <v>149</v>
      </c>
    </row>
    <row r="102">
      <c r="A102" s="11" t="s">
        <v>750</v>
      </c>
      <c r="B102" s="12" t="s">
        <v>746</v>
      </c>
      <c r="C102" s="12" t="s">
        <v>42</v>
      </c>
      <c r="D102" s="11" t="s">
        <v>744</v>
      </c>
      <c r="E102" s="14">
        <v>4.9</v>
      </c>
      <c r="F102" s="12">
        <v>154.0</v>
      </c>
      <c r="G102" s="12" t="s">
        <v>747</v>
      </c>
      <c r="H102" s="12" t="s">
        <v>748</v>
      </c>
      <c r="I102" s="15" t="str">
        <f>+91 93727 99547</f>
        <v>#ERROR!</v>
      </c>
      <c r="J102" s="15"/>
      <c r="K102" s="12" t="s">
        <v>98</v>
      </c>
      <c r="L102" s="12" t="s">
        <v>100</v>
      </c>
    </row>
    <row r="103">
      <c r="A103" s="12" t="s">
        <v>42</v>
      </c>
      <c r="B103" s="12" t="s">
        <v>135</v>
      </c>
      <c r="C103" s="12" t="s">
        <v>42</v>
      </c>
      <c r="D103" s="11" t="s">
        <v>133</v>
      </c>
      <c r="E103" s="14">
        <v>5.0</v>
      </c>
      <c r="F103" s="12">
        <v>20.0</v>
      </c>
      <c r="G103" s="12" t="s">
        <v>136</v>
      </c>
      <c r="H103" s="12" t="s">
        <v>137</v>
      </c>
      <c r="I103" s="15" t="str">
        <f>+91 98695 13498</f>
        <v>#ERROR!</v>
      </c>
      <c r="J103" s="12" t="s">
        <v>108</v>
      </c>
      <c r="K103" s="12" t="s">
        <v>148</v>
      </c>
      <c r="L103" s="12" t="s">
        <v>149</v>
      </c>
    </row>
    <row r="104">
      <c r="A104" s="12" t="s">
        <v>42</v>
      </c>
      <c r="B104" s="12" t="s">
        <v>451</v>
      </c>
      <c r="C104" s="12" t="s">
        <v>42</v>
      </c>
      <c r="D104" s="11" t="s">
        <v>448</v>
      </c>
      <c r="E104" s="14">
        <v>5.0</v>
      </c>
      <c r="F104" s="12">
        <v>26.0</v>
      </c>
      <c r="G104" s="12" t="s">
        <v>51</v>
      </c>
      <c r="H104" s="12" t="s">
        <v>452</v>
      </c>
      <c r="I104" s="15" t="str">
        <f>+91 96519 81942</f>
        <v>#ERROR!</v>
      </c>
      <c r="J104" s="12" t="s">
        <v>902</v>
      </c>
      <c r="K104" s="12" t="s">
        <v>148</v>
      </c>
      <c r="L104" s="12" t="s">
        <v>149</v>
      </c>
    </row>
    <row r="105">
      <c r="A105" s="12" t="s">
        <v>42</v>
      </c>
      <c r="B105" s="12" t="s">
        <v>853</v>
      </c>
      <c r="C105" s="12" t="s">
        <v>42</v>
      </c>
      <c r="D105" s="11" t="s">
        <v>854</v>
      </c>
      <c r="F105" s="12" t="s">
        <v>160</v>
      </c>
      <c r="G105" s="12" t="s">
        <v>51</v>
      </c>
      <c r="H105" s="12" t="s">
        <v>855</v>
      </c>
      <c r="I105" s="15" t="str">
        <f>+91 91676 35479</f>
        <v>#ERROR!</v>
      </c>
      <c r="J105" s="12" t="s">
        <v>903</v>
      </c>
      <c r="K105" s="12" t="s">
        <v>148</v>
      </c>
      <c r="L105" s="12" t="s">
        <v>149</v>
      </c>
    </row>
    <row r="106">
      <c r="A106" s="12" t="s">
        <v>42</v>
      </c>
      <c r="B106" s="12" t="s">
        <v>706</v>
      </c>
      <c r="C106" s="12" t="s">
        <v>42</v>
      </c>
      <c r="D106" s="11" t="s">
        <v>705</v>
      </c>
      <c r="E106" s="14">
        <v>5.0</v>
      </c>
      <c r="F106" s="12">
        <v>53.0</v>
      </c>
      <c r="G106" s="12" t="s">
        <v>708</v>
      </c>
      <c r="H106" s="12" t="s">
        <v>710</v>
      </c>
      <c r="I106" s="15" t="str">
        <f>+91 79771 40843</f>
        <v>#ERROR!</v>
      </c>
      <c r="J106" s="12" t="s">
        <v>904</v>
      </c>
      <c r="K106" s="12" t="s">
        <v>148</v>
      </c>
      <c r="L106" s="12" t="s">
        <v>149</v>
      </c>
    </row>
    <row r="107">
      <c r="A107" s="12" t="s">
        <v>42</v>
      </c>
      <c r="B107" s="12" t="s">
        <v>846</v>
      </c>
      <c r="C107" s="12" t="s">
        <v>42</v>
      </c>
      <c r="D107" s="11" t="s">
        <v>845</v>
      </c>
      <c r="E107" s="14">
        <v>4.7</v>
      </c>
      <c r="F107" s="12">
        <v>10.0</v>
      </c>
      <c r="G107" s="12" t="s">
        <v>847</v>
      </c>
      <c r="H107" s="12" t="s">
        <v>849</v>
      </c>
      <c r="I107" s="15" t="str">
        <f>+91 93243 59623</f>
        <v>#ERROR!</v>
      </c>
      <c r="J107" s="12" t="s">
        <v>905</v>
      </c>
      <c r="K107" s="12" t="s">
        <v>148</v>
      </c>
      <c r="L107" s="12" t="s">
        <v>149</v>
      </c>
    </row>
    <row r="108">
      <c r="A108" s="11" t="s">
        <v>198</v>
      </c>
      <c r="B108" s="12" t="s">
        <v>191</v>
      </c>
      <c r="C108" s="11" t="s">
        <v>860</v>
      </c>
      <c r="D108" s="11" t="s">
        <v>190</v>
      </c>
      <c r="E108" s="14">
        <v>4.9</v>
      </c>
      <c r="F108" s="12">
        <v>283.0</v>
      </c>
      <c r="G108" s="12" t="s">
        <v>192</v>
      </c>
      <c r="H108" s="12" t="s">
        <v>193</v>
      </c>
      <c r="I108" s="15" t="str">
        <f>+91 77770 05606</f>
        <v>#ERROR!</v>
      </c>
      <c r="J108" s="12" t="s">
        <v>906</v>
      </c>
      <c r="K108" s="12" t="s">
        <v>118</v>
      </c>
      <c r="L108" s="12" t="s">
        <v>119</v>
      </c>
    </row>
    <row r="109">
      <c r="A109" s="11" t="s">
        <v>219</v>
      </c>
      <c r="B109" s="12" t="s">
        <v>212</v>
      </c>
      <c r="C109" s="11" t="s">
        <v>867</v>
      </c>
      <c r="D109" s="11" t="s">
        <v>209</v>
      </c>
      <c r="E109" s="14">
        <v>4.6</v>
      </c>
      <c r="F109" s="12">
        <v>291.0</v>
      </c>
      <c r="G109" s="12" t="s">
        <v>192</v>
      </c>
      <c r="H109" s="12" t="s">
        <v>214</v>
      </c>
      <c r="I109" s="15" t="str">
        <f>+91 93215 84678</f>
        <v>#ERROR!</v>
      </c>
      <c r="J109" s="12" t="s">
        <v>907</v>
      </c>
      <c r="K109" s="12" t="s">
        <v>118</v>
      </c>
      <c r="L109" s="12" t="s">
        <v>119</v>
      </c>
    </row>
    <row r="110">
      <c r="A110" s="11" t="s">
        <v>327</v>
      </c>
      <c r="B110" s="12" t="s">
        <v>321</v>
      </c>
      <c r="C110" s="11" t="s">
        <v>869</v>
      </c>
      <c r="D110" s="11" t="s">
        <v>318</v>
      </c>
      <c r="E110" s="14">
        <v>4.9</v>
      </c>
      <c r="F110" s="12">
        <v>130.0</v>
      </c>
      <c r="G110" s="12" t="s">
        <v>322</v>
      </c>
      <c r="H110" s="12" t="s">
        <v>323</v>
      </c>
      <c r="I110" s="15" t="str">
        <f>+91 83830 24748</f>
        <v>#ERROR!</v>
      </c>
      <c r="J110" s="12" t="s">
        <v>908</v>
      </c>
      <c r="K110" s="12" t="s">
        <v>118</v>
      </c>
      <c r="L110" s="12" t="s">
        <v>119</v>
      </c>
    </row>
    <row r="111">
      <c r="A111" s="11" t="s">
        <v>777</v>
      </c>
      <c r="B111" s="12" t="s">
        <v>774</v>
      </c>
      <c r="C111" s="11" t="s">
        <v>873</v>
      </c>
      <c r="D111" s="11" t="s">
        <v>773</v>
      </c>
      <c r="E111" s="14">
        <v>4.8</v>
      </c>
      <c r="F111" s="12">
        <v>155.0</v>
      </c>
      <c r="G111" s="12" t="s">
        <v>102</v>
      </c>
      <c r="H111" s="12" t="s">
        <v>775</v>
      </c>
      <c r="I111" s="15" t="str">
        <f>+91 98216 62442</f>
        <v>#ERROR!</v>
      </c>
      <c r="J111" s="12" t="s">
        <v>504</v>
      </c>
      <c r="K111" s="12" t="s">
        <v>118</v>
      </c>
      <c r="L111" s="12" t="s">
        <v>119</v>
      </c>
    </row>
    <row r="112">
      <c r="A112" s="11" t="s">
        <v>402</v>
      </c>
      <c r="B112" s="12" t="s">
        <v>397</v>
      </c>
      <c r="C112" s="11" t="s">
        <v>874</v>
      </c>
      <c r="D112" s="11" t="s">
        <v>394</v>
      </c>
      <c r="E112" s="14">
        <v>4.6</v>
      </c>
      <c r="F112" s="12">
        <v>131.0</v>
      </c>
      <c r="G112" s="12" t="s">
        <v>322</v>
      </c>
      <c r="H112" s="12" t="s">
        <v>398</v>
      </c>
      <c r="I112" s="15" t="str">
        <f>+91 77383 81897</f>
        <v>#ERROR!</v>
      </c>
      <c r="J112" s="15"/>
      <c r="K112" s="12" t="s">
        <v>118</v>
      </c>
      <c r="L112" s="12" t="s">
        <v>119</v>
      </c>
    </row>
    <row r="113">
      <c r="A113" s="11" t="s">
        <v>663</v>
      </c>
      <c r="B113" s="12" t="s">
        <v>659</v>
      </c>
      <c r="C113" s="11" t="s">
        <v>876</v>
      </c>
      <c r="D113" s="11" t="s">
        <v>658</v>
      </c>
      <c r="E113" s="14">
        <v>4.9</v>
      </c>
      <c r="F113" s="12">
        <v>44.0</v>
      </c>
      <c r="G113" s="12" t="s">
        <v>470</v>
      </c>
      <c r="H113" s="12" t="s">
        <v>660</v>
      </c>
      <c r="I113" s="15" t="str">
        <f>+91 79849 38807</f>
        <v>#ERROR!</v>
      </c>
      <c r="J113" s="12" t="s">
        <v>633</v>
      </c>
      <c r="K113" s="12" t="s">
        <v>118</v>
      </c>
      <c r="L113" s="12" t="s">
        <v>119</v>
      </c>
    </row>
    <row r="114">
      <c r="A114" s="11" t="s">
        <v>877</v>
      </c>
      <c r="B114" s="12" t="s">
        <v>878</v>
      </c>
      <c r="C114" s="11" t="s">
        <v>879</v>
      </c>
      <c r="D114" s="11" t="s">
        <v>881</v>
      </c>
      <c r="E114" s="14">
        <v>5.0</v>
      </c>
      <c r="F114" s="12">
        <v>35.0</v>
      </c>
      <c r="G114" s="12" t="s">
        <v>308</v>
      </c>
      <c r="H114" s="12" t="s">
        <v>882</v>
      </c>
      <c r="I114" s="15" t="str">
        <f>+91 97736 22313</f>
        <v>#ERROR!</v>
      </c>
      <c r="J114" s="12" t="s">
        <v>909</v>
      </c>
      <c r="K114" s="12" t="s">
        <v>118</v>
      </c>
      <c r="L114" s="12" t="s">
        <v>119</v>
      </c>
    </row>
    <row r="115">
      <c r="A115" s="12" t="s">
        <v>42</v>
      </c>
      <c r="B115" s="12" t="s">
        <v>464</v>
      </c>
      <c r="C115" s="12" t="s">
        <v>42</v>
      </c>
      <c r="D115" s="11" t="s">
        <v>460</v>
      </c>
      <c r="E115" s="14">
        <v>4.6</v>
      </c>
      <c r="F115" s="12">
        <v>67.0</v>
      </c>
      <c r="G115" s="12" t="s">
        <v>466</v>
      </c>
      <c r="H115" s="12" t="s">
        <v>467</v>
      </c>
      <c r="I115" s="15" t="str">
        <f>+91 93232 28892</f>
        <v>#ERROR!</v>
      </c>
      <c r="J115" s="15"/>
      <c r="K115" s="12" t="s">
        <v>148</v>
      </c>
      <c r="L115" s="12" t="s">
        <v>149</v>
      </c>
    </row>
    <row r="116">
      <c r="A116" s="11" t="s">
        <v>287</v>
      </c>
      <c r="B116" s="12" t="s">
        <v>277</v>
      </c>
      <c r="C116" s="11" t="s">
        <v>886</v>
      </c>
      <c r="D116" s="11" t="s">
        <v>275</v>
      </c>
      <c r="E116" s="14">
        <v>4.1</v>
      </c>
      <c r="F116" s="12">
        <v>1737.0</v>
      </c>
      <c r="G116" s="12" t="s">
        <v>278</v>
      </c>
      <c r="H116" s="12" t="s">
        <v>282</v>
      </c>
      <c r="I116" s="15" t="str">
        <f>+91 22 6157 8300</f>
        <v>#ERROR!</v>
      </c>
      <c r="J116" s="15"/>
      <c r="K116" s="12" t="s">
        <v>118</v>
      </c>
      <c r="L116" s="12" t="s">
        <v>119</v>
      </c>
    </row>
    <row r="117">
      <c r="A117" s="11" t="s">
        <v>764</v>
      </c>
      <c r="B117" s="12" t="s">
        <v>761</v>
      </c>
      <c r="C117" s="12" t="s">
        <v>42</v>
      </c>
      <c r="D117" s="11" t="s">
        <v>760</v>
      </c>
      <c r="E117" s="14">
        <v>4.9</v>
      </c>
      <c r="F117" s="12">
        <v>96.0</v>
      </c>
      <c r="G117" s="12" t="s">
        <v>51</v>
      </c>
      <c r="H117" s="12" t="s">
        <v>762</v>
      </c>
      <c r="I117" s="15" t="str">
        <f>+91 90826 45508</f>
        <v>#ERROR!</v>
      </c>
      <c r="J117" s="12" t="s">
        <v>504</v>
      </c>
      <c r="K117" s="12" t="s">
        <v>98</v>
      </c>
      <c r="L117" s="12" t="s">
        <v>100</v>
      </c>
    </row>
    <row r="118">
      <c r="A118" s="12" t="s">
        <v>42</v>
      </c>
      <c r="B118" s="12" t="s">
        <v>576</v>
      </c>
      <c r="C118" s="12" t="s">
        <v>42</v>
      </c>
      <c r="D118" s="11" t="s">
        <v>575</v>
      </c>
      <c r="E118" s="14">
        <v>4.9</v>
      </c>
      <c r="F118" s="12">
        <v>42.0</v>
      </c>
      <c r="G118" s="12" t="s">
        <v>322</v>
      </c>
      <c r="H118" s="12" t="s">
        <v>577</v>
      </c>
      <c r="J118" s="15"/>
      <c r="K118" s="12" t="s">
        <v>148</v>
      </c>
      <c r="L118" s="12" t="s">
        <v>149</v>
      </c>
    </row>
    <row r="119">
      <c r="A119" s="12" t="s">
        <v>42</v>
      </c>
      <c r="B119" s="12" t="s">
        <v>768</v>
      </c>
      <c r="C119" s="12" t="s">
        <v>42</v>
      </c>
      <c r="D119" s="11" t="s">
        <v>767</v>
      </c>
      <c r="E119" s="14">
        <v>5.0</v>
      </c>
      <c r="F119" s="12">
        <v>115.0</v>
      </c>
      <c r="G119" s="12" t="s">
        <v>192</v>
      </c>
      <c r="H119" s="12" t="s">
        <v>769</v>
      </c>
      <c r="I119" s="15" t="str">
        <f>+91 96641 46460</f>
        <v>#ERROR!</v>
      </c>
      <c r="J119" s="12" t="s">
        <v>504</v>
      </c>
      <c r="K119" s="12" t="s">
        <v>148</v>
      </c>
      <c r="L119" s="12" t="s">
        <v>149</v>
      </c>
    </row>
    <row r="120">
      <c r="A120" s="11" t="s">
        <v>887</v>
      </c>
      <c r="B120" s="12" t="s">
        <v>888</v>
      </c>
      <c r="C120" s="11" t="s">
        <v>889</v>
      </c>
      <c r="D120" s="11" t="s">
        <v>890</v>
      </c>
      <c r="E120" s="14">
        <v>4.5</v>
      </c>
      <c r="F120" s="12">
        <v>206.0</v>
      </c>
      <c r="G120" s="12" t="s">
        <v>892</v>
      </c>
      <c r="H120" s="12" t="s">
        <v>893</v>
      </c>
      <c r="I120" s="15" t="str">
        <f>+91 70260 00738</f>
        <v>#ERROR!</v>
      </c>
      <c r="J120" s="15"/>
      <c r="K120" s="12" t="s">
        <v>118</v>
      </c>
      <c r="L120" s="12" t="s">
        <v>119</v>
      </c>
    </row>
    <row r="121">
      <c r="A121" s="15"/>
      <c r="B121" s="12" t="s">
        <v>269</v>
      </c>
      <c r="C121" s="11" t="s">
        <v>889</v>
      </c>
      <c r="D121" s="11" t="s">
        <v>264</v>
      </c>
      <c r="E121" s="14">
        <v>5.0</v>
      </c>
      <c r="F121" s="12">
        <v>23.0</v>
      </c>
      <c r="G121" s="12" t="s">
        <v>192</v>
      </c>
      <c r="H121" s="12" t="s">
        <v>270</v>
      </c>
      <c r="I121" s="15" t="str">
        <f>+91 99673 29119</f>
        <v>#ERROR!</v>
      </c>
      <c r="J121" s="12" t="s">
        <v>910</v>
      </c>
      <c r="K121" s="12" t="s">
        <v>118</v>
      </c>
      <c r="L121" s="12" t="s">
        <v>119</v>
      </c>
    </row>
    <row r="122">
      <c r="A122" s="15"/>
      <c r="B122" s="15"/>
      <c r="C122" s="15"/>
      <c r="D122" s="15"/>
      <c r="E122" s="15"/>
      <c r="F122" s="12"/>
      <c r="G122" s="15"/>
      <c r="H122" s="15"/>
      <c r="I122" s="15"/>
      <c r="J122" s="15"/>
      <c r="K122" s="12"/>
      <c r="L122" s="12"/>
    </row>
    <row r="123">
      <c r="A123" s="15"/>
      <c r="B123" s="15"/>
      <c r="C123" s="15"/>
      <c r="D123" s="15"/>
      <c r="E123" s="15"/>
      <c r="F123" s="12"/>
      <c r="G123" s="15"/>
      <c r="H123" s="15"/>
      <c r="I123" s="15"/>
      <c r="J123" s="12"/>
      <c r="K123" s="12"/>
      <c r="L123" s="12"/>
    </row>
    <row r="124">
      <c r="A124" s="15"/>
      <c r="B124" s="15"/>
      <c r="C124" s="15"/>
      <c r="D124" s="15"/>
      <c r="E124" s="15"/>
      <c r="F124" s="12"/>
      <c r="G124" s="15"/>
      <c r="H124" s="15"/>
      <c r="I124" s="15"/>
      <c r="J124" s="12"/>
      <c r="K124" s="12"/>
      <c r="L124" s="12"/>
    </row>
    <row r="125">
      <c r="A125" s="15"/>
      <c r="B125" s="15"/>
      <c r="C125" s="15"/>
      <c r="D125" s="15"/>
      <c r="E125" s="15"/>
      <c r="F125" s="12"/>
      <c r="G125" s="15"/>
      <c r="H125" s="15"/>
      <c r="I125" s="15"/>
      <c r="J125" s="12"/>
      <c r="K125" s="12"/>
      <c r="L125" s="12"/>
    </row>
    <row r="126">
      <c r="A126" s="15"/>
      <c r="B126" s="15"/>
      <c r="C126" s="15"/>
      <c r="D126" s="15"/>
      <c r="E126" s="15"/>
      <c r="F126" s="12"/>
      <c r="G126" s="15"/>
      <c r="H126" s="15"/>
      <c r="I126" s="15"/>
      <c r="J126" s="12"/>
      <c r="K126" s="12"/>
      <c r="L126" s="12"/>
    </row>
    <row r="127">
      <c r="A127" s="15"/>
      <c r="B127" s="15"/>
      <c r="C127" s="15"/>
      <c r="D127" s="15"/>
      <c r="E127" s="15"/>
      <c r="F127" s="12"/>
      <c r="G127" s="15"/>
      <c r="H127" s="15"/>
      <c r="I127" s="15"/>
      <c r="J127" s="12"/>
      <c r="K127" s="12"/>
      <c r="L127" s="12"/>
    </row>
  </sheetData>
  <mergeCells count="15">
    <mergeCell ref="H36:I36"/>
    <mergeCell ref="H45:I45"/>
    <mergeCell ref="H46:I46"/>
    <mergeCell ref="H55:I55"/>
    <mergeCell ref="H60:I60"/>
    <mergeCell ref="H88:I88"/>
    <mergeCell ref="D105:E105"/>
    <mergeCell ref="H118:I118"/>
    <mergeCell ref="H2:I2"/>
    <mergeCell ref="H4:I4"/>
    <mergeCell ref="H5:I5"/>
    <mergeCell ref="D6:E6"/>
    <mergeCell ref="D16:E16"/>
    <mergeCell ref="H16:I16"/>
    <mergeCell ref="H21:I21"/>
  </mergeCells>
  <hyperlinks>
    <hyperlink r:id="rId1" ref="A2"/>
    <hyperlink r:id="rId2" ref="D2"/>
    <hyperlink r:id="rId3" ref="A3"/>
    <hyperlink r:id="rId4" ref="C3"/>
    <hyperlink r:id="rId5" ref="D3"/>
    <hyperlink r:id="rId6" ref="A4"/>
    <hyperlink r:id="rId7" ref="C4"/>
    <hyperlink r:id="rId8" ref="D4"/>
    <hyperlink r:id="rId9" ref="D5"/>
    <hyperlink r:id="rId10" ref="D6"/>
    <hyperlink r:id="rId11" ref="A7"/>
    <hyperlink r:id="rId12" ref="C7"/>
    <hyperlink r:id="rId13" ref="D7"/>
    <hyperlink r:id="rId14" ref="A8"/>
    <hyperlink r:id="rId15" ref="C8"/>
    <hyperlink r:id="rId16" ref="D8"/>
    <hyperlink r:id="rId17" ref="D9"/>
    <hyperlink r:id="rId18" ref="A10"/>
    <hyperlink r:id="rId19" ref="C10"/>
    <hyperlink r:id="rId20" ref="D10"/>
    <hyperlink r:id="rId21" ref="A11"/>
    <hyperlink r:id="rId22" ref="C11"/>
    <hyperlink r:id="rId23" ref="D11"/>
    <hyperlink r:id="rId24" ref="A12"/>
    <hyperlink r:id="rId25" ref="C12"/>
    <hyperlink r:id="rId26" ref="D12"/>
    <hyperlink r:id="rId27" ref="A13"/>
    <hyperlink r:id="rId28" ref="D13"/>
    <hyperlink r:id="rId29" ref="D14"/>
    <hyperlink r:id="rId30" ref="A15"/>
    <hyperlink r:id="rId31" ref="C15"/>
    <hyperlink r:id="rId32" ref="D15"/>
    <hyperlink r:id="rId33" ref="A16"/>
    <hyperlink r:id="rId34" ref="C16"/>
    <hyperlink r:id="rId35" ref="D16"/>
    <hyperlink r:id="rId36" ref="A17"/>
    <hyperlink r:id="rId37" ref="D17"/>
    <hyperlink r:id="rId38" ref="A18"/>
    <hyperlink r:id="rId39" ref="C18"/>
    <hyperlink r:id="rId40" ref="D18"/>
    <hyperlink r:id="rId41" ref="A19"/>
    <hyperlink r:id="rId42" ref="C19"/>
    <hyperlink r:id="rId43" ref="D19"/>
    <hyperlink r:id="rId44" ref="A20"/>
    <hyperlink r:id="rId45" ref="C20"/>
    <hyperlink r:id="rId46" ref="D20"/>
    <hyperlink r:id="rId47" ref="A21"/>
    <hyperlink r:id="rId48" ref="C21"/>
    <hyperlink r:id="rId49" ref="D21"/>
    <hyperlink r:id="rId50" ref="A22"/>
    <hyperlink r:id="rId51" ref="C22"/>
    <hyperlink r:id="rId52" ref="D22"/>
    <hyperlink r:id="rId53" ref="A23"/>
    <hyperlink r:id="rId54" ref="D23"/>
    <hyperlink r:id="rId55" ref="D24"/>
    <hyperlink r:id="rId56" ref="A25"/>
    <hyperlink r:id="rId57" ref="C25"/>
    <hyperlink r:id="rId58" ref="D25"/>
    <hyperlink r:id="rId59" ref="A26"/>
    <hyperlink r:id="rId60" ref="C26"/>
    <hyperlink r:id="rId61" ref="D26"/>
    <hyperlink r:id="rId62" ref="D27"/>
    <hyperlink r:id="rId63" ref="A28"/>
    <hyperlink r:id="rId64" ref="C28"/>
    <hyperlink r:id="rId65" ref="D28"/>
    <hyperlink r:id="rId66" ref="A29"/>
    <hyperlink r:id="rId67" ref="D29"/>
    <hyperlink r:id="rId68" ref="A30"/>
    <hyperlink r:id="rId69" ref="C30"/>
    <hyperlink r:id="rId70" ref="D30"/>
    <hyperlink r:id="rId71" ref="A31"/>
    <hyperlink r:id="rId72" ref="D31"/>
    <hyperlink r:id="rId73" ref="A32"/>
    <hyperlink r:id="rId74" ref="D32"/>
    <hyperlink r:id="rId75" ref="D33"/>
    <hyperlink r:id="rId76" ref="A34"/>
    <hyperlink r:id="rId77" ref="C34"/>
    <hyperlink r:id="rId78" ref="D34"/>
    <hyperlink r:id="rId79" ref="D35"/>
    <hyperlink r:id="rId80" ref="D36"/>
    <hyperlink r:id="rId81" ref="A37"/>
    <hyperlink r:id="rId82" ref="C37"/>
    <hyperlink r:id="rId83" ref="D37"/>
    <hyperlink r:id="rId84" ref="D38"/>
    <hyperlink r:id="rId85" ref="A39"/>
    <hyperlink r:id="rId86" ref="C39"/>
    <hyperlink r:id="rId87" ref="D39"/>
    <hyperlink r:id="rId88" ref="D40"/>
    <hyperlink r:id="rId89" ref="A41"/>
    <hyperlink r:id="rId90" ref="D41"/>
    <hyperlink r:id="rId91" ref="A42"/>
    <hyperlink r:id="rId92" ref="D42"/>
    <hyperlink r:id="rId93" ref="D43"/>
    <hyperlink r:id="rId94" ref="D44"/>
    <hyperlink r:id="rId95" ref="A45"/>
    <hyperlink r:id="rId96" ref="C45"/>
    <hyperlink r:id="rId97" ref="D45"/>
    <hyperlink r:id="rId98" ref="D46"/>
    <hyperlink r:id="rId99" ref="A47"/>
    <hyperlink r:id="rId100" ref="D47"/>
    <hyperlink r:id="rId101" ref="A48"/>
    <hyperlink r:id="rId102" ref="C48"/>
    <hyperlink r:id="rId103" ref="D48"/>
    <hyperlink r:id="rId104" ref="A49"/>
    <hyperlink r:id="rId105" ref="C49"/>
    <hyperlink r:id="rId106" ref="D49"/>
    <hyperlink r:id="rId107" ref="A50"/>
    <hyperlink r:id="rId108" ref="D50"/>
    <hyperlink r:id="rId109" ref="A51"/>
    <hyperlink r:id="rId110" ref="D51"/>
    <hyperlink r:id="rId111" ref="A52"/>
    <hyperlink r:id="rId112" ref="D52"/>
    <hyperlink r:id="rId113" ref="C53"/>
    <hyperlink r:id="rId114" ref="D53"/>
    <hyperlink r:id="rId115" ref="A54"/>
    <hyperlink r:id="rId116" ref="C54"/>
    <hyperlink r:id="rId117" ref="D54"/>
    <hyperlink r:id="rId118" ref="A55"/>
    <hyperlink r:id="rId119" ref="D55"/>
    <hyperlink r:id="rId120" ref="D56"/>
    <hyperlink r:id="rId121" ref="A57"/>
    <hyperlink r:id="rId122" ref="D57"/>
    <hyperlink r:id="rId123" ref="A58"/>
    <hyperlink r:id="rId124" ref="D58"/>
    <hyperlink r:id="rId125" ref="D59"/>
    <hyperlink r:id="rId126" ref="A60"/>
    <hyperlink r:id="rId127" ref="C60"/>
    <hyperlink r:id="rId128" ref="D60"/>
    <hyperlink r:id="rId129" ref="A61"/>
    <hyperlink r:id="rId130" ref="D61"/>
    <hyperlink r:id="rId131" ref="A62"/>
    <hyperlink r:id="rId132" ref="C62"/>
    <hyperlink r:id="rId133" ref="D62"/>
    <hyperlink r:id="rId134" ref="A63"/>
    <hyperlink r:id="rId135" ref="C63"/>
    <hyperlink r:id="rId136" ref="D63"/>
    <hyperlink r:id="rId137" ref="A64"/>
    <hyperlink r:id="rId138" ref="C64"/>
    <hyperlink r:id="rId139" ref="D64"/>
    <hyperlink r:id="rId140" ref="D65"/>
    <hyperlink r:id="rId141" ref="D66"/>
    <hyperlink r:id="rId142" ref="A67"/>
    <hyperlink r:id="rId143" ref="D67"/>
    <hyperlink r:id="rId144" ref="D68"/>
    <hyperlink r:id="rId145" ref="A69"/>
    <hyperlink r:id="rId146" ref="C69"/>
    <hyperlink r:id="rId147" ref="D69"/>
    <hyperlink r:id="rId148" ref="A70"/>
    <hyperlink r:id="rId149" ref="D70"/>
    <hyperlink r:id="rId150" ref="A71"/>
    <hyperlink r:id="rId151" ref="C71"/>
    <hyperlink r:id="rId152" ref="D71"/>
    <hyperlink r:id="rId153" ref="D72"/>
    <hyperlink r:id="rId154" ref="A73"/>
    <hyperlink r:id="rId155" ref="C73"/>
    <hyperlink r:id="rId156" ref="D73"/>
    <hyperlink r:id="rId157" ref="A74"/>
    <hyperlink r:id="rId158" ref="C74"/>
    <hyperlink r:id="rId159" ref="D74"/>
    <hyperlink r:id="rId160" ref="D75"/>
    <hyperlink r:id="rId161" ref="D76"/>
    <hyperlink r:id="rId162" ref="D77"/>
    <hyperlink r:id="rId163" ref="A78"/>
    <hyperlink r:id="rId164" ref="C78"/>
    <hyperlink r:id="rId165" ref="D78"/>
    <hyperlink r:id="rId166" ref="A79"/>
    <hyperlink r:id="rId167" ref="C79"/>
    <hyperlink r:id="rId168" ref="D79"/>
    <hyperlink r:id="rId169" ref="D80"/>
    <hyperlink r:id="rId170" ref="D81"/>
    <hyperlink r:id="rId171" ref="A82"/>
    <hyperlink r:id="rId172" ref="C82"/>
    <hyperlink r:id="rId173" ref="D82"/>
    <hyperlink r:id="rId174" ref="A83"/>
    <hyperlink r:id="rId175" ref="D83"/>
    <hyperlink r:id="rId176" ref="A84"/>
    <hyperlink r:id="rId177" ref="D84"/>
    <hyperlink r:id="rId178" ref="A85"/>
    <hyperlink r:id="rId179" ref="D85"/>
    <hyperlink r:id="rId180" ref="A86"/>
    <hyperlink r:id="rId181" ref="C86"/>
    <hyperlink r:id="rId182" ref="D86"/>
    <hyperlink r:id="rId183" ref="A87"/>
    <hyperlink r:id="rId184" ref="D87"/>
    <hyperlink r:id="rId185" ref="D88"/>
    <hyperlink r:id="rId186" ref="A89"/>
    <hyperlink r:id="rId187" ref="D89"/>
    <hyperlink r:id="rId188" ref="A90"/>
    <hyperlink r:id="rId189" ref="C90"/>
    <hyperlink r:id="rId190" ref="D90"/>
    <hyperlink r:id="rId191" ref="A91"/>
    <hyperlink r:id="rId192" ref="D91"/>
    <hyperlink r:id="rId193" ref="D92"/>
    <hyperlink r:id="rId194" ref="A93"/>
    <hyperlink r:id="rId195" ref="C93"/>
    <hyperlink r:id="rId196" ref="D93"/>
    <hyperlink r:id="rId197" ref="A94"/>
    <hyperlink r:id="rId198" ref="C94"/>
    <hyperlink r:id="rId199" ref="D94"/>
    <hyperlink r:id="rId200" ref="A95"/>
    <hyperlink r:id="rId201" ref="C95"/>
    <hyperlink r:id="rId202" ref="D95"/>
    <hyperlink r:id="rId203" ref="D96"/>
    <hyperlink r:id="rId204" ref="A97"/>
    <hyperlink r:id="rId205" ref="C97"/>
    <hyperlink r:id="rId206" ref="D97"/>
    <hyperlink r:id="rId207" ref="A98"/>
    <hyperlink r:id="rId208" ref="C98"/>
    <hyperlink r:id="rId209" ref="D98"/>
    <hyperlink r:id="rId210" ref="A99"/>
    <hyperlink r:id="rId211" ref="C99"/>
    <hyperlink r:id="rId212" ref="D99"/>
    <hyperlink r:id="rId213" ref="A100"/>
    <hyperlink r:id="rId214" ref="C100"/>
    <hyperlink r:id="rId215" ref="D100"/>
    <hyperlink r:id="rId216" ref="D101"/>
    <hyperlink r:id="rId217" ref="A102"/>
    <hyperlink r:id="rId218" ref="D102"/>
    <hyperlink r:id="rId219" ref="D103"/>
    <hyperlink r:id="rId220" ref="D104"/>
    <hyperlink r:id="rId221" ref="D105"/>
    <hyperlink r:id="rId222" ref="D106"/>
    <hyperlink r:id="rId223" ref="D107"/>
    <hyperlink r:id="rId224" ref="A108"/>
    <hyperlink r:id="rId225" ref="C108"/>
    <hyperlink r:id="rId226" ref="D108"/>
    <hyperlink r:id="rId227" ref="A109"/>
    <hyperlink r:id="rId228" ref="C109"/>
    <hyperlink r:id="rId229" ref="D109"/>
    <hyperlink r:id="rId230" ref="A110"/>
    <hyperlink r:id="rId231" ref="C110"/>
    <hyperlink r:id="rId232" ref="D110"/>
    <hyperlink r:id="rId233" ref="A111"/>
    <hyperlink r:id="rId234" ref="C111"/>
    <hyperlink r:id="rId235" ref="D111"/>
    <hyperlink r:id="rId236" ref="A112"/>
    <hyperlink r:id="rId237" ref="C112"/>
    <hyperlink r:id="rId238" ref="D112"/>
    <hyperlink r:id="rId239" ref="A113"/>
    <hyperlink r:id="rId240" ref="C113"/>
    <hyperlink r:id="rId241" ref="D113"/>
    <hyperlink r:id="rId242" ref="A114"/>
    <hyperlink r:id="rId243" ref="C114"/>
    <hyperlink r:id="rId244" ref="D114"/>
    <hyperlink r:id="rId245" ref="D115"/>
    <hyperlink r:id="rId246" ref="A116"/>
    <hyperlink r:id="rId247" ref="C116"/>
    <hyperlink r:id="rId248" ref="D116"/>
    <hyperlink r:id="rId249" ref="A117"/>
    <hyperlink r:id="rId250" ref="D117"/>
    <hyperlink r:id="rId251" ref="D118"/>
    <hyperlink r:id="rId252" ref="D119"/>
    <hyperlink r:id="rId253" ref="A120"/>
    <hyperlink r:id="rId254" ref="C120"/>
    <hyperlink r:id="rId255" ref="D120"/>
    <hyperlink r:id="rId256" ref="C121"/>
    <hyperlink r:id="rId257" ref="D121"/>
  </hyperlinks>
  <drawing r:id="rId2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96.63"/>
    <col customWidth="1" min="3" max="3" width="27.88"/>
    <col customWidth="1" min="4" max="5" width="10.75"/>
    <col customWidth="1" min="6" max="6" width="10.88"/>
    <col customWidth="1" min="7" max="7" width="104.25"/>
    <col customWidth="1" min="8" max="8" width="8.75"/>
    <col customWidth="1" min="9" max="9" width="8.88"/>
    <col customWidth="1" min="10" max="10" width="15.38"/>
    <col customWidth="1" min="11" max="11" width="60.0"/>
    <col customWidth="1" min="12" max="12" width="10.38"/>
    <col customWidth="1" min="13" max="13" width="14.75"/>
  </cols>
  <sheetData>
    <row r="1">
      <c r="A1" s="16" t="s">
        <v>120</v>
      </c>
      <c r="B1" s="17" t="s">
        <v>8</v>
      </c>
      <c r="C1" s="17" t="s">
        <v>19</v>
      </c>
      <c r="D1" s="18" t="s">
        <v>2</v>
      </c>
      <c r="E1" s="18" t="s">
        <v>11</v>
      </c>
      <c r="F1" s="18" t="s">
        <v>13</v>
      </c>
      <c r="G1" s="19" t="s">
        <v>21</v>
      </c>
      <c r="H1" s="17" t="s">
        <v>15</v>
      </c>
      <c r="I1" s="17" t="s">
        <v>17</v>
      </c>
      <c r="J1" s="20" t="s">
        <v>23</v>
      </c>
      <c r="K1" s="17" t="s">
        <v>29</v>
      </c>
      <c r="L1" s="17" t="s">
        <v>70</v>
      </c>
      <c r="M1" s="17" t="s">
        <v>71</v>
      </c>
    </row>
    <row r="2">
      <c r="A2" s="21">
        <v>1.0</v>
      </c>
      <c r="B2" s="22" t="s">
        <v>40</v>
      </c>
      <c r="C2" s="22" t="s">
        <v>51</v>
      </c>
      <c r="D2" s="23" t="str">
        <f>IF(OR(Cleaned!A2="",LOWER(Cleaned!A2)="not available",LOWER(Cleaned!A2)="not found"),"Not Available",HYPERLINK(Cleaned!A2,"Website"))</f>
        <v>Website</v>
      </c>
      <c r="E2" s="24" t="str">
        <f>IF(OR(Cleaned!C2="",LOWER(Cleaned!C2)="not available",LOWER(Cleaned!C2)="not found"),"Not Available",HYPERLINK(Cleaned!C2,"Instagram"))</f>
        <v>Not Available</v>
      </c>
      <c r="F2" s="23" t="str">
        <f>IF(OR(Cleaned!D2="",LOWER(Cleaned!D2)="not available",LOWER(Cleaned!D2)="not found"),"Not Available",HYPERLINK(Cleaned!D2,"Maps"))</f>
        <v>Maps</v>
      </c>
      <c r="G2" s="25" t="s">
        <v>62</v>
      </c>
      <c r="H2" s="22">
        <v>5.0</v>
      </c>
      <c r="I2" s="22">
        <v>152.0</v>
      </c>
      <c r="J2" s="26" t="s">
        <v>42</v>
      </c>
      <c r="K2" s="27" t="s">
        <v>42</v>
      </c>
      <c r="L2" s="22" t="s">
        <v>98</v>
      </c>
      <c r="M2" s="22" t="s">
        <v>100</v>
      </c>
    </row>
    <row r="3">
      <c r="A3" s="21">
        <v>2.0</v>
      </c>
      <c r="B3" s="22" t="s">
        <v>73</v>
      </c>
      <c r="C3" s="22" t="s">
        <v>83</v>
      </c>
      <c r="D3" s="23" t="str">
        <f>IF(OR(Cleaned!A3="",LOWER(Cleaned!A3)="not available",LOWER(Cleaned!A3)="not found"),"Not Available",HYPERLINK(Cleaned!A3,"Website"))</f>
        <v>Website</v>
      </c>
      <c r="E3" s="23" t="str">
        <f>IF(OR(Cleaned!C3="",LOWER(Cleaned!C3)="not available",LOWER(Cleaned!C3)="not found"),"Not Available",HYPERLINK(Cleaned!C3,"Instagram"))</f>
        <v>Instagram</v>
      </c>
      <c r="F3" s="23" t="str">
        <f>IF(OR(Cleaned!D3="",LOWER(Cleaned!D3)="not available",LOWER(Cleaned!D3)="not found"),"Not Available",HYPERLINK(Cleaned!D3,"Maps"))</f>
        <v>Maps</v>
      </c>
      <c r="G3" s="25" t="s">
        <v>84</v>
      </c>
      <c r="H3" s="22">
        <v>4.7</v>
      </c>
      <c r="I3" s="22">
        <v>599.0</v>
      </c>
      <c r="J3" s="28" t="s">
        <v>85</v>
      </c>
      <c r="K3" s="27" t="s">
        <v>42</v>
      </c>
      <c r="L3" s="22" t="s">
        <v>118</v>
      </c>
      <c r="M3" s="22" t="s">
        <v>119</v>
      </c>
    </row>
    <row r="4">
      <c r="A4" s="21">
        <v>3.0</v>
      </c>
      <c r="B4" s="22" t="s">
        <v>95</v>
      </c>
      <c r="C4" s="22" t="s">
        <v>102</v>
      </c>
      <c r="D4" s="23" t="str">
        <f>IF(OR(Cleaned!A4="",LOWER(Cleaned!A4)="not available",LOWER(Cleaned!A4)="not found"),"Not Available",HYPERLINK(Cleaned!A4,"Website"))</f>
        <v>Website</v>
      </c>
      <c r="E4" s="23" t="str">
        <f>IF(OR(Cleaned!C4="",LOWER(Cleaned!C4)="not available",LOWER(Cleaned!C4)="not found"),"Not Available",HYPERLINK(Cleaned!C4,"Instagram"))</f>
        <v>Instagram</v>
      </c>
      <c r="F4" s="23" t="str">
        <f>IF(OR(Cleaned!D4="",LOWER(Cleaned!D4)="not available",LOWER(Cleaned!D4)="not found"),"Not Available",HYPERLINK(Cleaned!D4,"Maps"))</f>
        <v>Maps</v>
      </c>
      <c r="G4" s="25" t="s">
        <v>104</v>
      </c>
      <c r="H4" s="22">
        <v>5.0</v>
      </c>
      <c r="I4" s="22">
        <v>263.0</v>
      </c>
      <c r="J4" s="26" t="s">
        <v>42</v>
      </c>
      <c r="K4" s="27" t="s">
        <v>42</v>
      </c>
      <c r="L4" s="22" t="s">
        <v>118</v>
      </c>
      <c r="M4" s="22" t="s">
        <v>119</v>
      </c>
    </row>
    <row r="5">
      <c r="A5" s="21">
        <v>4.0</v>
      </c>
      <c r="B5" s="22" t="s">
        <v>107</v>
      </c>
      <c r="C5" s="22" t="s">
        <v>51</v>
      </c>
      <c r="D5" s="24" t="str">
        <f>IF(OR(Cleaned!A5="",LOWER(Cleaned!A5)="not available",LOWER(Cleaned!A5)="not found"),"Not Available",HYPERLINK(Cleaned!A5,"Website"))</f>
        <v>Not Available</v>
      </c>
      <c r="E5" s="24" t="str">
        <f>IF(OR(Cleaned!C5="",LOWER(Cleaned!C5)="not available",LOWER(Cleaned!C5)="not found"),"Not Available",HYPERLINK(Cleaned!C5,"Instagram"))</f>
        <v>Not Available</v>
      </c>
      <c r="F5" s="23" t="str">
        <f>IF(OR(Cleaned!D5="",LOWER(Cleaned!D5)="not available",LOWER(Cleaned!D5)="not found"),"Not Available",HYPERLINK(Cleaned!D5,"Maps"))</f>
        <v>Maps</v>
      </c>
      <c r="G5" s="25" t="s">
        <v>111</v>
      </c>
      <c r="H5" s="22">
        <v>5.0</v>
      </c>
      <c r="I5" s="22">
        <v>5.0</v>
      </c>
      <c r="J5" s="26" t="s">
        <v>42</v>
      </c>
      <c r="K5" s="22" t="s">
        <v>146</v>
      </c>
      <c r="L5" s="22" t="s">
        <v>148</v>
      </c>
      <c r="M5" s="22" t="s">
        <v>149</v>
      </c>
    </row>
    <row r="6">
      <c r="A6" s="21">
        <v>5.0</v>
      </c>
      <c r="B6" s="22" t="s">
        <v>116</v>
      </c>
      <c r="C6" s="22" t="s">
        <v>51</v>
      </c>
      <c r="D6" s="24" t="str">
        <f>IF(OR(Cleaned!A6="",LOWER(Cleaned!A6)="not available",LOWER(Cleaned!A6)="not found"),"Not Available",HYPERLINK(Cleaned!A6,"Website"))</f>
        <v>Not Available</v>
      </c>
      <c r="E6" s="24" t="str">
        <f>IF(OR(Cleaned!C6="",LOWER(Cleaned!C6)="not available",LOWER(Cleaned!C6)="not found"),"Not Available",HYPERLINK(Cleaned!C6,"Instagram"))</f>
        <v>Not Available</v>
      </c>
      <c r="F6" s="23" t="str">
        <f>IF(OR(Cleaned!D6="",LOWER(Cleaned!D6)="not available",LOWER(Cleaned!D6)="not found"),"Not Available",HYPERLINK(Cleaned!D6,"Maps"))</f>
        <v>Maps</v>
      </c>
      <c r="G6" s="25" t="s">
        <v>124</v>
      </c>
      <c r="H6" s="26" t="s">
        <v>42</v>
      </c>
      <c r="I6" s="21" t="s">
        <v>42</v>
      </c>
      <c r="J6" s="28" t="s">
        <v>126</v>
      </c>
      <c r="K6" s="22" t="s">
        <v>166</v>
      </c>
      <c r="L6" s="22" t="s">
        <v>148</v>
      </c>
      <c r="M6" s="22" t="s">
        <v>149</v>
      </c>
    </row>
    <row r="7">
      <c r="A7" s="21">
        <v>6.0</v>
      </c>
      <c r="B7" s="22" t="s">
        <v>132</v>
      </c>
      <c r="C7" s="22" t="s">
        <v>86</v>
      </c>
      <c r="D7" s="23" t="str">
        <f>IF(OR(Cleaned!A7="",LOWER(Cleaned!A7)="not available",LOWER(Cleaned!A7)="not found"),"Not Available",HYPERLINK(Cleaned!A7,"Website"))</f>
        <v>Website</v>
      </c>
      <c r="E7" s="23" t="str">
        <f>IF(OR(Cleaned!C7="",LOWER(Cleaned!C7)="not available",LOWER(Cleaned!C7)="not found"),"Not Available",HYPERLINK(Cleaned!C7,"Instagram"))</f>
        <v>Instagram</v>
      </c>
      <c r="F7" s="23" t="str">
        <f>IF(OR(Cleaned!D7="",LOWER(Cleaned!D7)="not available",LOWER(Cleaned!D7)="not found"),"Not Available",HYPERLINK(Cleaned!D7,"Maps"))</f>
        <v>Maps</v>
      </c>
      <c r="G7" s="25" t="s">
        <v>88</v>
      </c>
      <c r="H7" s="22">
        <v>4.7</v>
      </c>
      <c r="I7" s="22">
        <v>28262.0</v>
      </c>
      <c r="J7" s="28" t="s">
        <v>90</v>
      </c>
      <c r="K7" s="22" t="s">
        <v>67</v>
      </c>
      <c r="L7" s="22" t="s">
        <v>118</v>
      </c>
      <c r="M7" s="22" t="s">
        <v>119</v>
      </c>
    </row>
    <row r="8">
      <c r="A8" s="21">
        <v>7.0</v>
      </c>
      <c r="B8" s="22" t="s">
        <v>142</v>
      </c>
      <c r="C8" s="22" t="s">
        <v>152</v>
      </c>
      <c r="D8" s="23" t="str">
        <f>IF(OR(Cleaned!A8="",LOWER(Cleaned!A8)="not available",LOWER(Cleaned!A8)="not found"),"Not Available",HYPERLINK(Cleaned!A8,"Website"))</f>
        <v>Website</v>
      </c>
      <c r="E8" s="23" t="str">
        <f>IF(OR(Cleaned!C8="",LOWER(Cleaned!C8)="not available",LOWER(Cleaned!C8)="not found"),"Not Available",HYPERLINK(Cleaned!C8,"Instagram"))</f>
        <v>Instagram</v>
      </c>
      <c r="F8" s="23" t="str">
        <f>IF(OR(Cleaned!D8="",LOWER(Cleaned!D8)="not available",LOWER(Cleaned!D8)="not found"),"Not Available",HYPERLINK(Cleaned!D8,"Maps"))</f>
        <v>Maps</v>
      </c>
      <c r="G8" s="25" t="s">
        <v>153</v>
      </c>
      <c r="H8" s="22">
        <v>1.0</v>
      </c>
      <c r="I8" s="22">
        <v>1.0</v>
      </c>
      <c r="J8" s="28" t="s">
        <v>154</v>
      </c>
      <c r="K8" s="22" t="s">
        <v>155</v>
      </c>
      <c r="L8" s="22" t="s">
        <v>118</v>
      </c>
      <c r="M8" s="22" t="s">
        <v>119</v>
      </c>
    </row>
    <row r="9">
      <c r="A9" s="21">
        <v>8.0</v>
      </c>
      <c r="B9" s="22" t="s">
        <v>156</v>
      </c>
      <c r="C9" s="22" t="s">
        <v>74</v>
      </c>
      <c r="D9" s="24" t="str">
        <f>IF(OR(Cleaned!A9="",LOWER(Cleaned!A9)="not available",LOWER(Cleaned!A9)="not found"),"Not Available",HYPERLINK(Cleaned!A9,"Website"))</f>
        <v>Not Available</v>
      </c>
      <c r="E9" s="24" t="str">
        <f>IF(OR(Cleaned!C9="",LOWER(Cleaned!C9)="not available",LOWER(Cleaned!C9)="not found"),"Not Available",HYPERLINK(Cleaned!C9,"Instagram"))</f>
        <v>Not Available</v>
      </c>
      <c r="F9" s="23" t="str">
        <f>IF(OR(Cleaned!D9="",LOWER(Cleaned!D9)="not available",LOWER(Cleaned!D9)="not found"),"Not Available",HYPERLINK(Cleaned!D9,"Maps"))</f>
        <v>Maps</v>
      </c>
      <c r="G9" s="25" t="s">
        <v>164</v>
      </c>
      <c r="H9" s="22">
        <v>4.5</v>
      </c>
      <c r="I9" s="22">
        <v>10.0</v>
      </c>
      <c r="J9" s="28" t="s">
        <v>165</v>
      </c>
      <c r="K9" s="22" t="s">
        <v>167</v>
      </c>
      <c r="L9" s="22" t="s">
        <v>148</v>
      </c>
      <c r="M9" s="22" t="s">
        <v>149</v>
      </c>
    </row>
    <row r="10">
      <c r="A10" s="21">
        <v>9.0</v>
      </c>
      <c r="B10" s="22" t="s">
        <v>174</v>
      </c>
      <c r="C10" s="22" t="s">
        <v>184</v>
      </c>
      <c r="D10" s="23" t="str">
        <f>IF(OR(Cleaned!A10="",LOWER(Cleaned!A10)="not available",LOWER(Cleaned!A10)="not found"),"Not Available",HYPERLINK(Cleaned!A10,"Website"))</f>
        <v>Website</v>
      </c>
      <c r="E10" s="23" t="str">
        <f>IF(OR(Cleaned!C10="",LOWER(Cleaned!C10)="not available",LOWER(Cleaned!C10)="not found"),"Not Available",HYPERLINK(Cleaned!C10,"Instagram"))</f>
        <v>Instagram</v>
      </c>
      <c r="F10" s="23" t="str">
        <f>IF(OR(Cleaned!D10="",LOWER(Cleaned!D10)="not available",LOWER(Cleaned!D10)="not found"),"Not Available",HYPERLINK(Cleaned!D10,"Maps"))</f>
        <v>Maps</v>
      </c>
      <c r="G10" s="25" t="s">
        <v>185</v>
      </c>
      <c r="H10" s="22">
        <v>4.9</v>
      </c>
      <c r="I10" s="22">
        <v>580.0</v>
      </c>
      <c r="J10" s="28" t="s">
        <v>187</v>
      </c>
      <c r="K10" s="22" t="s">
        <v>247</v>
      </c>
      <c r="L10" s="22" t="s">
        <v>118</v>
      </c>
      <c r="M10" s="22" t="s">
        <v>119</v>
      </c>
    </row>
    <row r="11">
      <c r="A11" s="21">
        <v>10.0</v>
      </c>
      <c r="B11" s="22" t="s">
        <v>174</v>
      </c>
      <c r="C11" s="22" t="s">
        <v>184</v>
      </c>
      <c r="D11" s="23" t="str">
        <f>IF(OR(Cleaned!A11="",LOWER(Cleaned!A11)="not available",LOWER(Cleaned!A11)="not found"),"Not Available",HYPERLINK(Cleaned!A11,"Website"))</f>
        <v>Website</v>
      </c>
      <c r="E11" s="23" t="str">
        <f>IF(OR(Cleaned!C11="",LOWER(Cleaned!C11)="not available",LOWER(Cleaned!C11)="not found"),"Not Available",HYPERLINK(Cleaned!C11,"Instagram"))</f>
        <v>Instagram</v>
      </c>
      <c r="F11" s="23" t="str">
        <f>IF(OR(Cleaned!D11="",LOWER(Cleaned!D11)="not available",LOWER(Cleaned!D11)="not found"),"Not Available",HYPERLINK(Cleaned!D11,"Maps"))</f>
        <v>Maps</v>
      </c>
      <c r="G11" s="25" t="s">
        <v>185</v>
      </c>
      <c r="H11" s="22">
        <v>4.9</v>
      </c>
      <c r="I11" s="22">
        <v>580.0</v>
      </c>
      <c r="J11" s="28" t="s">
        <v>187</v>
      </c>
      <c r="K11" s="22" t="s">
        <v>265</v>
      </c>
      <c r="L11" s="22" t="s">
        <v>118</v>
      </c>
      <c r="M11" s="22" t="s">
        <v>119</v>
      </c>
    </row>
    <row r="12">
      <c r="A12" s="21">
        <v>11.0</v>
      </c>
      <c r="B12" s="22" t="s">
        <v>202</v>
      </c>
      <c r="C12" s="22" t="s">
        <v>86</v>
      </c>
      <c r="D12" s="23" t="str">
        <f>IF(OR(Cleaned!A12="",LOWER(Cleaned!A12)="not available",LOWER(Cleaned!A12)="not found"),"Not Available",HYPERLINK(Cleaned!A12,"Website"))</f>
        <v>Website</v>
      </c>
      <c r="E12" s="23" t="str">
        <f>IF(OR(Cleaned!C12="",LOWER(Cleaned!C12)="not available",LOWER(Cleaned!C12)="not found"),"Not Available",HYPERLINK(Cleaned!C12,"Instagram"))</f>
        <v>Instagram</v>
      </c>
      <c r="F12" s="23" t="str">
        <f>IF(OR(Cleaned!D12="",LOWER(Cleaned!D12)="not available",LOWER(Cleaned!D12)="not found"),"Not Available",HYPERLINK(Cleaned!D12,"Maps"))</f>
        <v>Maps</v>
      </c>
      <c r="G12" s="25" t="s">
        <v>210</v>
      </c>
      <c r="H12" s="22">
        <v>4.9</v>
      </c>
      <c r="I12" s="22">
        <v>2924.0</v>
      </c>
      <c r="J12" s="28" t="s">
        <v>211</v>
      </c>
      <c r="K12" s="27" t="s">
        <v>42</v>
      </c>
      <c r="L12" s="22" t="s">
        <v>118</v>
      </c>
      <c r="M12" s="22" t="s">
        <v>119</v>
      </c>
    </row>
    <row r="13">
      <c r="A13" s="21">
        <v>12.0</v>
      </c>
      <c r="B13" s="22" t="s">
        <v>216</v>
      </c>
      <c r="C13" s="22" t="s">
        <v>222</v>
      </c>
      <c r="D13" s="23" t="str">
        <f>IF(OR(Cleaned!A13="",LOWER(Cleaned!A13)="not available",LOWER(Cleaned!A13)="not found"),"Not Available",HYPERLINK(Cleaned!A13,"Website"))</f>
        <v>Website</v>
      </c>
      <c r="E13" s="24" t="str">
        <f>IF(OR(Cleaned!C13="",LOWER(Cleaned!C13)="not available",LOWER(Cleaned!C13)="not found"),"Not Available",HYPERLINK(Cleaned!C13,"Instagram"))</f>
        <v>Not Available</v>
      </c>
      <c r="F13" s="23" t="str">
        <f>IF(OR(Cleaned!D13="",LOWER(Cleaned!D13)="not available",LOWER(Cleaned!D13)="not found"),"Not Available",HYPERLINK(Cleaned!D13,"Maps"))</f>
        <v>Maps</v>
      </c>
      <c r="G13" s="25" t="s">
        <v>223</v>
      </c>
      <c r="H13" s="22">
        <v>4.9</v>
      </c>
      <c r="I13" s="22">
        <v>100.0</v>
      </c>
      <c r="J13" s="28" t="s">
        <v>224</v>
      </c>
      <c r="K13" s="22" t="s">
        <v>304</v>
      </c>
      <c r="L13" s="22" t="s">
        <v>98</v>
      </c>
      <c r="M13" s="22" t="s">
        <v>100</v>
      </c>
    </row>
    <row r="14">
      <c r="A14" s="21">
        <v>13.0</v>
      </c>
      <c r="B14" s="22" t="s">
        <v>227</v>
      </c>
      <c r="C14" s="22" t="s">
        <v>51</v>
      </c>
      <c r="D14" s="24" t="str">
        <f>IF(OR(Cleaned!A14="",LOWER(Cleaned!A14)="not available",LOWER(Cleaned!A14)="not found"),"Not Available",HYPERLINK(Cleaned!A14,"Website"))</f>
        <v>Not Available</v>
      </c>
      <c r="E14" s="24" t="str">
        <f>IF(OR(Cleaned!C14="",LOWER(Cleaned!C14)="not available",LOWER(Cleaned!C14)="not found"),"Not Available",HYPERLINK(Cleaned!C14,"Instagram"))</f>
        <v>Not Available</v>
      </c>
      <c r="F14" s="23" t="str">
        <f>IF(OR(Cleaned!D14="",LOWER(Cleaned!D14)="not available",LOWER(Cleaned!D14)="not found"),"Not Available",HYPERLINK(Cleaned!D14,"Maps"))</f>
        <v>Maps</v>
      </c>
      <c r="G14" s="25" t="s">
        <v>233</v>
      </c>
      <c r="H14" s="22">
        <v>1.0</v>
      </c>
      <c r="I14" s="22">
        <v>1.0</v>
      </c>
      <c r="J14" s="28" t="s">
        <v>234</v>
      </c>
      <c r="K14" s="22" t="s">
        <v>235</v>
      </c>
      <c r="L14" s="22" t="s">
        <v>148</v>
      </c>
      <c r="M14" s="22" t="s">
        <v>149</v>
      </c>
    </row>
    <row r="15">
      <c r="A15" s="21">
        <v>14.0</v>
      </c>
      <c r="B15" s="22" t="s">
        <v>229</v>
      </c>
      <c r="C15" s="22" t="s">
        <v>115</v>
      </c>
      <c r="D15" s="23" t="str">
        <f>IF(OR(Cleaned!A15="",LOWER(Cleaned!A15)="not available",LOWER(Cleaned!A15)="not found"),"Not Available",HYPERLINK(Cleaned!A15,"Website"))</f>
        <v>Website</v>
      </c>
      <c r="E15" s="23" t="str">
        <f>IF(OR(Cleaned!C15="",LOWER(Cleaned!C15)="not available",LOWER(Cleaned!C15)="not found"),"Not Available",HYPERLINK(Cleaned!C15,"Instagram"))</f>
        <v>Instagram</v>
      </c>
      <c r="F15" s="23" t="str">
        <f>IF(OR(Cleaned!D15="",LOWER(Cleaned!D15)="not available",LOWER(Cleaned!D15)="not found"),"Not Available",HYPERLINK(Cleaned!D15,"Maps"))</f>
        <v>Maps</v>
      </c>
      <c r="G15" s="25" t="s">
        <v>230</v>
      </c>
      <c r="H15" s="22">
        <v>4.9</v>
      </c>
      <c r="I15" s="22">
        <v>274.0</v>
      </c>
      <c r="J15" s="28" t="s">
        <v>231</v>
      </c>
      <c r="K15" s="22" t="s">
        <v>208</v>
      </c>
      <c r="L15" s="22" t="s">
        <v>118</v>
      </c>
      <c r="M15" s="22" t="s">
        <v>119</v>
      </c>
    </row>
    <row r="16">
      <c r="A16" s="21">
        <v>15.0</v>
      </c>
      <c r="B16" s="22" t="s">
        <v>250</v>
      </c>
      <c r="C16" s="22" t="s">
        <v>192</v>
      </c>
      <c r="D16" s="23" t="str">
        <f>IF(OR(Cleaned!A16="",LOWER(Cleaned!A16)="not available",LOWER(Cleaned!A16)="not found"),"Not Available",HYPERLINK(Cleaned!A16,"Website"))</f>
        <v>Website</v>
      </c>
      <c r="E16" s="23" t="str">
        <f>IF(OR(Cleaned!C16="",LOWER(Cleaned!C16)="not available",LOWER(Cleaned!C16)="not found"),"Not Available",HYPERLINK(Cleaned!C16,"Instagram"))</f>
        <v>Instagram</v>
      </c>
      <c r="F16" s="23" t="str">
        <f>IF(OR(Cleaned!D16="",LOWER(Cleaned!D16)="not available",LOWER(Cleaned!D16)="not found"),"Not Available",HYPERLINK(Cleaned!D16,"Maps"))</f>
        <v>Maps</v>
      </c>
      <c r="G16" s="25" t="s">
        <v>257</v>
      </c>
      <c r="H16" s="26" t="s">
        <v>42</v>
      </c>
      <c r="I16" s="21" t="s">
        <v>42</v>
      </c>
      <c r="J16" s="26" t="s">
        <v>42</v>
      </c>
      <c r="K16" s="22" t="s">
        <v>348</v>
      </c>
      <c r="L16" s="22" t="s">
        <v>118</v>
      </c>
      <c r="M16" s="22" t="s">
        <v>119</v>
      </c>
    </row>
    <row r="17">
      <c r="A17" s="21">
        <v>16.0</v>
      </c>
      <c r="B17" s="22" t="s">
        <v>260</v>
      </c>
      <c r="C17" s="22" t="s">
        <v>192</v>
      </c>
      <c r="D17" s="23" t="str">
        <f>IF(OR(Cleaned!A17="",LOWER(Cleaned!A17)="not available",LOWER(Cleaned!A17)="not found"),"Not Available",HYPERLINK(Cleaned!A17,"Website"))</f>
        <v>Website</v>
      </c>
      <c r="E17" s="24" t="str">
        <f>IF(OR(Cleaned!C17="",LOWER(Cleaned!C17)="not available",LOWER(Cleaned!C17)="not found"),"Not Available",HYPERLINK(Cleaned!C17,"Instagram"))</f>
        <v>Not Available</v>
      </c>
      <c r="F17" s="23" t="str">
        <f>IF(OR(Cleaned!D17="",LOWER(Cleaned!D17)="not available",LOWER(Cleaned!D17)="not found"),"Not Available",HYPERLINK(Cleaned!D17,"Maps"))</f>
        <v>Maps</v>
      </c>
      <c r="G17" s="25" t="s">
        <v>262</v>
      </c>
      <c r="H17" s="22">
        <v>4.9</v>
      </c>
      <c r="I17" s="22">
        <v>16.0</v>
      </c>
      <c r="J17" s="28" t="s">
        <v>263</v>
      </c>
      <c r="K17" s="22" t="s">
        <v>364</v>
      </c>
      <c r="L17" s="22" t="s">
        <v>98</v>
      </c>
      <c r="M17" s="22" t="s">
        <v>100</v>
      </c>
    </row>
    <row r="18">
      <c r="A18" s="21">
        <v>17.0</v>
      </c>
      <c r="B18" s="22" t="s">
        <v>271</v>
      </c>
      <c r="C18" s="22" t="s">
        <v>279</v>
      </c>
      <c r="D18" s="23" t="str">
        <f>IF(OR(Cleaned!A18="",LOWER(Cleaned!A18)="not available",LOWER(Cleaned!A18)="not found"),"Not Available",HYPERLINK(Cleaned!A18,"Website"))</f>
        <v>Website</v>
      </c>
      <c r="E18" s="23" t="str">
        <f>IF(OR(Cleaned!C18="",LOWER(Cleaned!C18)="not available",LOWER(Cleaned!C18)="not found"),"Not Available",HYPERLINK(Cleaned!C18,"Instagram"))</f>
        <v>Instagram</v>
      </c>
      <c r="F18" s="23" t="str">
        <f>IF(OR(Cleaned!D18="",LOWER(Cleaned!D18)="not available",LOWER(Cleaned!D18)="not found"),"Not Available",HYPERLINK(Cleaned!D18,"Maps"))</f>
        <v>Maps</v>
      </c>
      <c r="G18" s="25" t="s">
        <v>280</v>
      </c>
      <c r="H18" s="22">
        <v>4.9</v>
      </c>
      <c r="I18" s="22">
        <v>1690.0</v>
      </c>
      <c r="J18" s="28" t="s">
        <v>281</v>
      </c>
      <c r="K18" s="22" t="s">
        <v>381</v>
      </c>
      <c r="L18" s="22" t="s">
        <v>118</v>
      </c>
      <c r="M18" s="22" t="s">
        <v>119</v>
      </c>
    </row>
    <row r="19">
      <c r="A19" s="21">
        <v>18.0</v>
      </c>
      <c r="B19" s="22" t="s">
        <v>290</v>
      </c>
      <c r="C19" s="22" t="s">
        <v>298</v>
      </c>
      <c r="D19" s="23" t="str">
        <f>IF(OR(Cleaned!A19="",LOWER(Cleaned!A19)="not available",LOWER(Cleaned!A19)="not found"),"Not Available",HYPERLINK(Cleaned!A19,"Website"))</f>
        <v>Website</v>
      </c>
      <c r="E19" s="23" t="str">
        <f>IF(OR(Cleaned!C19="",LOWER(Cleaned!C19)="not available",LOWER(Cleaned!C19)="not found"),"Not Available",HYPERLINK(Cleaned!C19,"Instagram"))</f>
        <v>Instagram</v>
      </c>
      <c r="F19" s="23" t="str">
        <f>IF(OR(Cleaned!D19="",LOWER(Cleaned!D19)="not available",LOWER(Cleaned!D19)="not found"),"Not Available",HYPERLINK(Cleaned!D19,"Maps"))</f>
        <v>Maps</v>
      </c>
      <c r="G19" s="25" t="s">
        <v>52</v>
      </c>
      <c r="H19" s="22">
        <v>4.7</v>
      </c>
      <c r="I19" s="22">
        <v>3862.0</v>
      </c>
      <c r="J19" s="28" t="s">
        <v>299</v>
      </c>
      <c r="K19" s="22" t="s">
        <v>300</v>
      </c>
      <c r="L19" s="22" t="s">
        <v>118</v>
      </c>
      <c r="M19" s="22" t="s">
        <v>119</v>
      </c>
    </row>
    <row r="20">
      <c r="A20" s="21">
        <v>19.0</v>
      </c>
      <c r="B20" s="22" t="s">
        <v>305</v>
      </c>
      <c r="C20" s="22" t="s">
        <v>102</v>
      </c>
      <c r="D20" s="23" t="str">
        <f>IF(OR(Cleaned!A20="",LOWER(Cleaned!A20)="not available",LOWER(Cleaned!A20)="not found"),"Not Available",HYPERLINK(Cleaned!A20,"Website"))</f>
        <v>Website</v>
      </c>
      <c r="E20" s="23" t="str">
        <f>IF(OR(Cleaned!C20="",LOWER(Cleaned!C20)="not available",LOWER(Cleaned!C20)="not found"),"Not Available",HYPERLINK(Cleaned!C20,"Instagram"))</f>
        <v>Instagram</v>
      </c>
      <c r="F20" s="23" t="str">
        <f>IF(OR(Cleaned!D20="",LOWER(Cleaned!D20)="not available",LOWER(Cleaned!D20)="not found"),"Not Available",HYPERLINK(Cleaned!D20,"Maps"))</f>
        <v>Maps</v>
      </c>
      <c r="G20" s="25" t="s">
        <v>314</v>
      </c>
      <c r="H20" s="22">
        <v>4.9</v>
      </c>
      <c r="I20" s="22">
        <v>99.0</v>
      </c>
      <c r="J20" s="28" t="s">
        <v>315</v>
      </c>
      <c r="K20" s="22" t="s">
        <v>316</v>
      </c>
      <c r="L20" s="22" t="s">
        <v>118</v>
      </c>
      <c r="M20" s="22" t="s">
        <v>119</v>
      </c>
    </row>
    <row r="21">
      <c r="A21" s="21">
        <v>20.0</v>
      </c>
      <c r="B21" s="22" t="s">
        <v>319</v>
      </c>
      <c r="C21" s="22" t="s">
        <v>330</v>
      </c>
      <c r="D21" s="23" t="str">
        <f>IF(OR(Cleaned!A21="",LOWER(Cleaned!A21)="not available",LOWER(Cleaned!A21)="not found"),"Not Available",HYPERLINK(Cleaned!A21,"Website"))</f>
        <v>Website</v>
      </c>
      <c r="E21" s="23" t="str">
        <f>IF(OR(Cleaned!C21="",LOWER(Cleaned!C21)="not available",LOWER(Cleaned!C21)="not found"),"Not Available",HYPERLINK(Cleaned!C21,"Instagram"))</f>
        <v>Instagram</v>
      </c>
      <c r="F21" s="23" t="str">
        <f>IF(OR(Cleaned!D21="",LOWER(Cleaned!D21)="not available",LOWER(Cleaned!D21)="not found"),"Not Available",HYPERLINK(Cleaned!D21,"Maps"))</f>
        <v>Maps</v>
      </c>
      <c r="G21" s="25" t="s">
        <v>332</v>
      </c>
      <c r="H21" s="22">
        <v>4.3</v>
      </c>
      <c r="I21" s="22">
        <v>175.0</v>
      </c>
      <c r="J21" s="26" t="s">
        <v>42</v>
      </c>
      <c r="K21" s="22" t="s">
        <v>333</v>
      </c>
      <c r="L21" s="22" t="s">
        <v>118</v>
      </c>
      <c r="M21" s="22" t="s">
        <v>119</v>
      </c>
    </row>
    <row r="22">
      <c r="A22" s="21">
        <v>21.0</v>
      </c>
      <c r="B22" s="22" t="s">
        <v>335</v>
      </c>
      <c r="C22" s="22" t="s">
        <v>86</v>
      </c>
      <c r="D22" s="23" t="str">
        <f>IF(OR(Cleaned!A22="",LOWER(Cleaned!A22)="not available",LOWER(Cleaned!A22)="not found"),"Not Available",HYPERLINK(Cleaned!A22,"Website"))</f>
        <v>Website</v>
      </c>
      <c r="E22" s="23" t="str">
        <f>IF(OR(Cleaned!C22="",LOWER(Cleaned!C22)="not available",LOWER(Cleaned!C22)="not found"),"Not Available",HYPERLINK(Cleaned!C22,"Instagram"))</f>
        <v>Instagram</v>
      </c>
      <c r="F22" s="23" t="str">
        <f>IF(OR(Cleaned!D22="",LOWER(Cleaned!D22)="not available",LOWER(Cleaned!D22)="not found"),"Not Available",HYPERLINK(Cleaned!D22,"Maps"))</f>
        <v>Maps</v>
      </c>
      <c r="G22" s="25" t="s">
        <v>343</v>
      </c>
      <c r="H22" s="22">
        <v>4.1</v>
      </c>
      <c r="I22" s="22">
        <v>3440.0</v>
      </c>
      <c r="J22" s="28" t="s">
        <v>344</v>
      </c>
      <c r="K22" s="22" t="s">
        <v>333</v>
      </c>
      <c r="L22" s="22" t="s">
        <v>118</v>
      </c>
      <c r="M22" s="22" t="s">
        <v>119</v>
      </c>
    </row>
    <row r="23">
      <c r="A23" s="21">
        <v>22.0</v>
      </c>
      <c r="B23" s="22" t="s">
        <v>349</v>
      </c>
      <c r="C23" s="22" t="s">
        <v>102</v>
      </c>
      <c r="D23" s="23" t="str">
        <f>IF(OR(Cleaned!A23="",LOWER(Cleaned!A23)="not available",LOWER(Cleaned!A23)="not found"),"Not Available",HYPERLINK(Cleaned!A23,"Website"))</f>
        <v>Website</v>
      </c>
      <c r="E23" s="24" t="str">
        <f>IF(OR(Cleaned!C23="",LOWER(Cleaned!C23)="not available",LOWER(Cleaned!C23)="not found"),"Not Available",HYPERLINK(Cleaned!C23,"Instagram"))</f>
        <v>Not Available</v>
      </c>
      <c r="F23" s="23" t="str">
        <f>IF(OR(Cleaned!D23="",LOWER(Cleaned!D23)="not available",LOWER(Cleaned!D23)="not found"),"Not Available",HYPERLINK(Cleaned!D23,"Maps"))</f>
        <v>Maps</v>
      </c>
      <c r="G23" s="25" t="s">
        <v>355</v>
      </c>
      <c r="H23" s="22">
        <v>4.9</v>
      </c>
      <c r="I23" s="22">
        <v>147.0</v>
      </c>
      <c r="J23" s="28" t="s">
        <v>356</v>
      </c>
      <c r="K23" s="22" t="s">
        <v>435</v>
      </c>
      <c r="L23" s="22" t="s">
        <v>98</v>
      </c>
      <c r="M23" s="22" t="s">
        <v>100</v>
      </c>
    </row>
    <row r="24">
      <c r="A24" s="21">
        <v>23.0</v>
      </c>
      <c r="B24" s="22" t="s">
        <v>362</v>
      </c>
      <c r="C24" s="22" t="s">
        <v>74</v>
      </c>
      <c r="D24" s="24" t="str">
        <f>IF(OR(Cleaned!A24="",LOWER(Cleaned!A24)="not available",LOWER(Cleaned!A24)="not found"),"Not Available",HYPERLINK(Cleaned!A24,"Website"))</f>
        <v>Not Available</v>
      </c>
      <c r="E24" s="24" t="str">
        <f>IF(OR(Cleaned!C24="",LOWER(Cleaned!C24)="not available",LOWER(Cleaned!C24)="not found"),"Not Available",HYPERLINK(Cleaned!C24,"Instagram"))</f>
        <v>Not Available</v>
      </c>
      <c r="F24" s="23" t="str">
        <f>IF(OR(Cleaned!D24="",LOWER(Cleaned!D24)="not available",LOWER(Cleaned!D24)="not found"),"Not Available",HYPERLINK(Cleaned!D24,"Maps"))</f>
        <v>Maps</v>
      </c>
      <c r="G24" s="25" t="s">
        <v>367</v>
      </c>
      <c r="H24" s="22">
        <v>4.2</v>
      </c>
      <c r="I24" s="22">
        <v>75.0</v>
      </c>
      <c r="J24" s="28" t="s">
        <v>368</v>
      </c>
      <c r="K24" s="22" t="s">
        <v>370</v>
      </c>
      <c r="L24" s="22" t="s">
        <v>148</v>
      </c>
      <c r="M24" s="22" t="s">
        <v>149</v>
      </c>
    </row>
    <row r="25">
      <c r="A25" s="21">
        <v>24.0</v>
      </c>
      <c r="B25" s="22" t="s">
        <v>375</v>
      </c>
      <c r="C25" s="22" t="s">
        <v>384</v>
      </c>
      <c r="D25" s="23" t="str">
        <f>IF(OR(Cleaned!A25="",LOWER(Cleaned!A25)="not available",LOWER(Cleaned!A25)="not found"),"Not Available",HYPERLINK(Cleaned!A25,"Website"))</f>
        <v>Website</v>
      </c>
      <c r="E25" s="23" t="str">
        <f>IF(OR(Cleaned!C25="",LOWER(Cleaned!C25)="not available",LOWER(Cleaned!C25)="not found"),"Not Available",HYPERLINK(Cleaned!C25,"Instagram"))</f>
        <v>Instagram</v>
      </c>
      <c r="F25" s="23" t="str">
        <f>IF(OR(Cleaned!D25="",LOWER(Cleaned!D25)="not available",LOWER(Cleaned!D25)="not found"),"Not Available",HYPERLINK(Cleaned!D25,"Maps"))</f>
        <v>Maps</v>
      </c>
      <c r="G25" s="25" t="s">
        <v>386</v>
      </c>
      <c r="H25" s="22">
        <v>5.0</v>
      </c>
      <c r="I25" s="22">
        <v>59.0</v>
      </c>
      <c r="J25" s="28" t="s">
        <v>387</v>
      </c>
      <c r="K25" s="22" t="s">
        <v>333</v>
      </c>
      <c r="L25" s="22" t="s">
        <v>118</v>
      </c>
      <c r="M25" s="22" t="s">
        <v>119</v>
      </c>
    </row>
    <row r="26">
      <c r="A26" s="21">
        <v>25.0</v>
      </c>
      <c r="B26" s="22" t="s">
        <v>307</v>
      </c>
      <c r="C26" s="22" t="s">
        <v>308</v>
      </c>
      <c r="D26" s="23" t="str">
        <f>IF(OR(Cleaned!A26="",LOWER(Cleaned!A26)="not available",LOWER(Cleaned!A26)="not found"),"Not Available",HYPERLINK(Cleaned!A26,"Website"))</f>
        <v>Website</v>
      </c>
      <c r="E26" s="23" t="str">
        <f>IF(OR(Cleaned!C26="",LOWER(Cleaned!C26)="not available",LOWER(Cleaned!C26)="not found"),"Not Available",HYPERLINK(Cleaned!C26,"Instagram"))</f>
        <v>Instagram</v>
      </c>
      <c r="F26" s="23" t="str">
        <f>IF(OR(Cleaned!D26="",LOWER(Cleaned!D26)="not available",LOWER(Cleaned!D26)="not found"),"Not Available",HYPERLINK(Cleaned!D26,"Maps"))</f>
        <v>Maps</v>
      </c>
      <c r="G26" s="25" t="s">
        <v>310</v>
      </c>
      <c r="H26" s="22">
        <v>4.6</v>
      </c>
      <c r="I26" s="22">
        <v>1050.0</v>
      </c>
      <c r="J26" s="28" t="s">
        <v>311</v>
      </c>
      <c r="K26" s="22" t="s">
        <v>477</v>
      </c>
      <c r="L26" s="22" t="s">
        <v>118</v>
      </c>
      <c r="M26" s="22" t="s">
        <v>119</v>
      </c>
    </row>
    <row r="27">
      <c r="A27" s="21">
        <v>26.0</v>
      </c>
      <c r="B27" s="22" t="s">
        <v>395</v>
      </c>
      <c r="C27" s="22" t="s">
        <v>403</v>
      </c>
      <c r="D27" s="24" t="str">
        <f>IF(OR(Cleaned!A27="",LOWER(Cleaned!A27)="not available",LOWER(Cleaned!A27)="not found"),"Not Available",HYPERLINK(Cleaned!A27,"Website"))</f>
        <v>Not Available</v>
      </c>
      <c r="E27" s="24" t="str">
        <f>IF(OR(Cleaned!C27="",LOWER(Cleaned!C27)="not available",LOWER(Cleaned!C27)="not found"),"Not Available",HYPERLINK(Cleaned!C27,"Instagram"))</f>
        <v>Not Available</v>
      </c>
      <c r="F27" s="23" t="str">
        <f>IF(OR(Cleaned!D27="",LOWER(Cleaned!D27)="not available",LOWER(Cleaned!D27)="not found"),"Not Available",HYPERLINK(Cleaned!D27,"Maps"))</f>
        <v>Maps</v>
      </c>
      <c r="G27" s="25" t="s">
        <v>404</v>
      </c>
      <c r="H27" s="22">
        <v>4.4</v>
      </c>
      <c r="I27" s="22">
        <v>36.0</v>
      </c>
      <c r="J27" s="28" t="s">
        <v>405</v>
      </c>
      <c r="K27" s="22" t="s">
        <v>490</v>
      </c>
      <c r="L27" s="22" t="s">
        <v>148</v>
      </c>
      <c r="M27" s="22" t="s">
        <v>149</v>
      </c>
    </row>
    <row r="28">
      <c r="A28" s="21">
        <v>27.0</v>
      </c>
      <c r="B28" s="22" t="s">
        <v>411</v>
      </c>
      <c r="C28" s="22" t="s">
        <v>51</v>
      </c>
      <c r="D28" s="23" t="str">
        <f>IF(OR(Cleaned!A28="",LOWER(Cleaned!A28)="not available",LOWER(Cleaned!A28)="not found"),"Not Available",HYPERLINK(Cleaned!A28,"Website"))</f>
        <v>Website</v>
      </c>
      <c r="E28" s="23" t="str">
        <f>IF(OR(Cleaned!C28="",LOWER(Cleaned!C28)="not available",LOWER(Cleaned!C28)="not found"),"Not Available",HYPERLINK(Cleaned!C28,"Instagram"))</f>
        <v>Instagram</v>
      </c>
      <c r="F28" s="23" t="str">
        <f>IF(OR(Cleaned!D28="",LOWER(Cleaned!D28)="not available",LOWER(Cleaned!D28)="not found"),"Not Available",HYPERLINK(Cleaned!D28,"Maps"))</f>
        <v>Maps</v>
      </c>
      <c r="G28" s="25" t="s">
        <v>418</v>
      </c>
      <c r="H28" s="22">
        <v>4.7</v>
      </c>
      <c r="I28" s="22">
        <v>41.0</v>
      </c>
      <c r="J28" s="28" t="s">
        <v>419</v>
      </c>
      <c r="K28" s="27" t="s">
        <v>42</v>
      </c>
      <c r="L28" s="22" t="s">
        <v>118</v>
      </c>
      <c r="M28" s="22" t="s">
        <v>119</v>
      </c>
    </row>
    <row r="29">
      <c r="A29" s="21">
        <v>28.0</v>
      </c>
      <c r="B29" s="22" t="s">
        <v>423</v>
      </c>
      <c r="C29" s="22" t="s">
        <v>83</v>
      </c>
      <c r="D29" s="23" t="str">
        <f>IF(OR(Cleaned!A29="",LOWER(Cleaned!A29)="not available",LOWER(Cleaned!A29)="not found"),"Not Available",HYPERLINK(Cleaned!A29,"Website"))</f>
        <v>Website</v>
      </c>
      <c r="E29" s="24" t="str">
        <f>IF(OR(Cleaned!C29="",LOWER(Cleaned!C29)="not available",LOWER(Cleaned!C29)="not found"),"Not Available",HYPERLINK(Cleaned!C29,"Instagram"))</f>
        <v>Not Available</v>
      </c>
      <c r="F29" s="23" t="str">
        <f>IF(OR(Cleaned!D29="",LOWER(Cleaned!D29)="not available",LOWER(Cleaned!D29)="not found"),"Not Available",HYPERLINK(Cleaned!D29,"Maps"))</f>
        <v>Maps</v>
      </c>
      <c r="G29" s="25" t="s">
        <v>428</v>
      </c>
      <c r="H29" s="22">
        <v>3.8</v>
      </c>
      <c r="I29" s="22">
        <v>82.0</v>
      </c>
      <c r="J29" s="28" t="s">
        <v>429</v>
      </c>
      <c r="K29" s="22" t="s">
        <v>513</v>
      </c>
      <c r="L29" s="22" t="s">
        <v>98</v>
      </c>
      <c r="M29" s="22" t="s">
        <v>100</v>
      </c>
    </row>
    <row r="30">
      <c r="A30" s="21">
        <v>29.0</v>
      </c>
      <c r="B30" s="22" t="s">
        <v>438</v>
      </c>
      <c r="C30" s="22" t="s">
        <v>102</v>
      </c>
      <c r="D30" s="23" t="str">
        <f>IF(OR(Cleaned!A30="",LOWER(Cleaned!A30)="not available",LOWER(Cleaned!A30)="not found"),"Not Available",HYPERLINK(Cleaned!A30,"Website"))</f>
        <v>Website</v>
      </c>
      <c r="E30" s="23" t="str">
        <f>IF(OR(Cleaned!C30="",LOWER(Cleaned!C30)="not available",LOWER(Cleaned!C30)="not found"),"Not Available",HYPERLINK(Cleaned!C30,"Instagram"))</f>
        <v>Instagram</v>
      </c>
      <c r="F30" s="23" t="str">
        <f>IF(OR(Cleaned!D30="",LOWER(Cleaned!D30)="not available",LOWER(Cleaned!D30)="not found"),"Not Available",HYPERLINK(Cleaned!D30,"Maps"))</f>
        <v>Maps</v>
      </c>
      <c r="G30" s="25" t="s">
        <v>442</v>
      </c>
      <c r="H30" s="22">
        <v>5.0</v>
      </c>
      <c r="I30" s="22">
        <v>471.0</v>
      </c>
      <c r="J30" s="28" t="s">
        <v>444</v>
      </c>
      <c r="K30" s="22" t="s">
        <v>445</v>
      </c>
      <c r="L30" s="22" t="s">
        <v>118</v>
      </c>
      <c r="M30" s="22" t="s">
        <v>119</v>
      </c>
    </row>
    <row r="31">
      <c r="A31" s="21">
        <v>30.0</v>
      </c>
      <c r="B31" s="22" t="s">
        <v>449</v>
      </c>
      <c r="C31" s="22" t="s">
        <v>456</v>
      </c>
      <c r="D31" s="23" t="str">
        <f>IF(OR(Cleaned!A31="",LOWER(Cleaned!A31)="not available",LOWER(Cleaned!A31)="not found"),"Not Available",HYPERLINK(Cleaned!A31,"Website"))</f>
        <v>Website</v>
      </c>
      <c r="E31" s="24" t="str">
        <f>IF(OR(Cleaned!C31="",LOWER(Cleaned!C31)="not available",LOWER(Cleaned!C31)="not found"),"Not Available",HYPERLINK(Cleaned!C31,"Instagram"))</f>
        <v>Not Available</v>
      </c>
      <c r="F31" s="23" t="str">
        <f>IF(OR(Cleaned!D31="",LOWER(Cleaned!D31)="not available",LOWER(Cleaned!D31)="not found"),"Not Available",HYPERLINK(Cleaned!D31,"Maps"))</f>
        <v>Maps</v>
      </c>
      <c r="G31" s="25" t="s">
        <v>458</v>
      </c>
      <c r="H31" s="22">
        <v>5.0</v>
      </c>
      <c r="I31" s="22">
        <v>255.0</v>
      </c>
      <c r="J31" s="28" t="s">
        <v>459</v>
      </c>
      <c r="K31" s="22" t="s">
        <v>532</v>
      </c>
      <c r="L31" s="22" t="s">
        <v>98</v>
      </c>
      <c r="M31" s="22" t="s">
        <v>100</v>
      </c>
    </row>
    <row r="32">
      <c r="A32" s="21">
        <v>31.0</v>
      </c>
      <c r="B32" s="22" t="s">
        <v>463</v>
      </c>
      <c r="C32" s="22" t="s">
        <v>470</v>
      </c>
      <c r="D32" s="23" t="str">
        <f>IF(OR(Cleaned!A32="",LOWER(Cleaned!A32)="not available",LOWER(Cleaned!A32)="not found"),"Not Available",HYPERLINK(Cleaned!A32,"Website"))</f>
        <v>Website</v>
      </c>
      <c r="E32" s="24" t="str">
        <f>IF(OR(Cleaned!C32="",LOWER(Cleaned!C32)="not available",LOWER(Cleaned!C32)="not found"),"Not Available",HYPERLINK(Cleaned!C32,"Instagram"))</f>
        <v>Not Available</v>
      </c>
      <c r="F32" s="23" t="str">
        <f>IF(OR(Cleaned!D32="",LOWER(Cleaned!D32)="not available",LOWER(Cleaned!D32)="not found"),"Not Available",HYPERLINK(Cleaned!D32,"Maps"))</f>
        <v>Maps</v>
      </c>
      <c r="G32" s="25" t="s">
        <v>471</v>
      </c>
      <c r="H32" s="22">
        <v>4.9</v>
      </c>
      <c r="I32" s="22">
        <v>749.0</v>
      </c>
      <c r="J32" s="28" t="s">
        <v>419</v>
      </c>
      <c r="K32" s="22" t="s">
        <v>472</v>
      </c>
      <c r="L32" s="22" t="s">
        <v>98</v>
      </c>
      <c r="M32" s="22" t="s">
        <v>100</v>
      </c>
    </row>
    <row r="33">
      <c r="A33" s="21">
        <v>32.0</v>
      </c>
      <c r="B33" s="22" t="s">
        <v>473</v>
      </c>
      <c r="C33" s="22" t="s">
        <v>51</v>
      </c>
      <c r="D33" s="24" t="str">
        <f>IF(OR(Cleaned!A33="",LOWER(Cleaned!A33)="not available",LOWER(Cleaned!A33)="not found"),"Not Available",HYPERLINK(Cleaned!A33,"Website"))</f>
        <v>Not Available</v>
      </c>
      <c r="E33" s="24" t="str">
        <f>IF(OR(Cleaned!C33="",LOWER(Cleaned!C33)="not available",LOWER(Cleaned!C33)="not found"),"Not Available",HYPERLINK(Cleaned!C33,"Instagram"))</f>
        <v>Not Available</v>
      </c>
      <c r="F33" s="23" t="str">
        <f>IF(OR(Cleaned!D33="",LOWER(Cleaned!D33)="not available",LOWER(Cleaned!D33)="not found"),"Not Available",HYPERLINK(Cleaned!D33,"Maps"))</f>
        <v>Maps</v>
      </c>
      <c r="G33" s="25" t="s">
        <v>476</v>
      </c>
      <c r="H33" s="22">
        <v>4.9</v>
      </c>
      <c r="I33" s="22">
        <v>115.0</v>
      </c>
      <c r="J33" s="28" t="s">
        <v>479</v>
      </c>
      <c r="K33" s="22" t="s">
        <v>552</v>
      </c>
      <c r="L33" s="22" t="s">
        <v>148</v>
      </c>
      <c r="M33" s="22" t="s">
        <v>149</v>
      </c>
    </row>
    <row r="34">
      <c r="A34" s="21">
        <v>33.0</v>
      </c>
      <c r="B34" s="22" t="s">
        <v>485</v>
      </c>
      <c r="C34" s="22" t="s">
        <v>51</v>
      </c>
      <c r="D34" s="23" t="str">
        <f>IF(OR(Cleaned!A34="",LOWER(Cleaned!A34)="not available",LOWER(Cleaned!A34)="not found"),"Not Available",HYPERLINK(Cleaned!A34,"Website"))</f>
        <v>Website</v>
      </c>
      <c r="E34" s="23" t="str">
        <f>IF(OR(Cleaned!C34="",LOWER(Cleaned!C34)="not available",LOWER(Cleaned!C34)="not found"),"Not Available",HYPERLINK(Cleaned!C34,"Instagram"))</f>
        <v>Instagram</v>
      </c>
      <c r="F34" s="23" t="str">
        <f>IF(OR(Cleaned!D34="",LOWER(Cleaned!D34)="not available",LOWER(Cleaned!D34)="not found"),"Not Available",HYPERLINK(Cleaned!D34,"Maps"))</f>
        <v>Maps</v>
      </c>
      <c r="G34" s="25" t="s">
        <v>494</v>
      </c>
      <c r="H34" s="22">
        <v>5.0</v>
      </c>
      <c r="I34" s="22">
        <v>44.0</v>
      </c>
      <c r="J34" s="28" t="s">
        <v>495</v>
      </c>
      <c r="K34" s="22" t="s">
        <v>496</v>
      </c>
      <c r="L34" s="22" t="s">
        <v>118</v>
      </c>
      <c r="M34" s="22" t="s">
        <v>119</v>
      </c>
    </row>
    <row r="35">
      <c r="A35" s="21">
        <v>34.0</v>
      </c>
      <c r="B35" s="22" t="s">
        <v>498</v>
      </c>
      <c r="C35" s="22" t="s">
        <v>51</v>
      </c>
      <c r="D35" s="24" t="str">
        <f>IF(OR(Cleaned!A35="",LOWER(Cleaned!A35)="not available",LOWER(Cleaned!A35)="not found"),"Not Available",HYPERLINK(Cleaned!A35,"Website"))</f>
        <v>Not Available</v>
      </c>
      <c r="E35" s="24" t="str">
        <f>IF(OR(Cleaned!C35="",LOWER(Cleaned!C35)="not available",LOWER(Cleaned!C35)="not found"),"Not Available",HYPERLINK(Cleaned!C35,"Instagram"))</f>
        <v>Not Available</v>
      </c>
      <c r="F35" s="23" t="str">
        <f>IF(OR(Cleaned!D35="",LOWER(Cleaned!D35)="not available",LOWER(Cleaned!D35)="not found"),"Not Available",HYPERLINK(Cleaned!D35,"Maps"))</f>
        <v>Maps</v>
      </c>
      <c r="G35" s="25" t="s">
        <v>502</v>
      </c>
      <c r="H35" s="22">
        <v>4.7</v>
      </c>
      <c r="I35" s="22">
        <v>3.0</v>
      </c>
      <c r="J35" s="28" t="s">
        <v>503</v>
      </c>
      <c r="K35" s="22" t="s">
        <v>504</v>
      </c>
      <c r="L35" s="22" t="s">
        <v>148</v>
      </c>
      <c r="M35" s="22" t="s">
        <v>149</v>
      </c>
    </row>
    <row r="36">
      <c r="A36" s="21">
        <v>35.0</v>
      </c>
      <c r="B36" s="22" t="s">
        <v>382</v>
      </c>
      <c r="C36" s="22" t="s">
        <v>51</v>
      </c>
      <c r="D36" s="24" t="str">
        <f>IF(OR(Cleaned!A36="",LOWER(Cleaned!A36)="not available",LOWER(Cleaned!A36)="not found"),"Not Available",HYPERLINK(Cleaned!A36,"Website"))</f>
        <v>Not Available</v>
      </c>
      <c r="E36" s="24" t="str">
        <f>IF(OR(Cleaned!C36="",LOWER(Cleaned!C36)="not available",LOWER(Cleaned!C36)="not found"),"Not Available",HYPERLINK(Cleaned!C36,"Instagram"))</f>
        <v>Not Available</v>
      </c>
      <c r="F36" s="23" t="str">
        <f>IF(OR(Cleaned!D36="",LOWER(Cleaned!D36)="not available",LOWER(Cleaned!D36)="not found"),"Not Available",HYPERLINK(Cleaned!D36,"Maps"))</f>
        <v>Maps</v>
      </c>
      <c r="G36" s="25" t="s">
        <v>383</v>
      </c>
      <c r="H36" s="22">
        <v>5.0</v>
      </c>
      <c r="I36" s="22">
        <v>1.0</v>
      </c>
      <c r="J36" s="26" t="s">
        <v>42</v>
      </c>
      <c r="K36" s="22" t="s">
        <v>581</v>
      </c>
      <c r="L36" s="22" t="s">
        <v>148</v>
      </c>
      <c r="M36" s="22" t="s">
        <v>149</v>
      </c>
    </row>
    <row r="37">
      <c r="A37" s="21">
        <v>36.0</v>
      </c>
      <c r="B37" s="22" t="s">
        <v>510</v>
      </c>
      <c r="C37" s="22" t="s">
        <v>514</v>
      </c>
      <c r="D37" s="23" t="str">
        <f>IF(OR(Cleaned!A37="",LOWER(Cleaned!A37)="not available",LOWER(Cleaned!A37)="not found"),"Not Available",HYPERLINK(Cleaned!A37,"Website"))</f>
        <v>Website</v>
      </c>
      <c r="E37" s="23" t="str">
        <f>IF(OR(Cleaned!C37="",LOWER(Cleaned!C37)="not available",LOWER(Cleaned!C37)="not found"),"Not Available",HYPERLINK(Cleaned!C37,"Instagram"))</f>
        <v>Instagram</v>
      </c>
      <c r="F37" s="23" t="str">
        <f>IF(OR(Cleaned!D37="",LOWER(Cleaned!D37)="not available",LOWER(Cleaned!D37)="not found"),"Not Available",HYPERLINK(Cleaned!D37,"Maps"))</f>
        <v>Maps</v>
      </c>
      <c r="G37" s="25" t="s">
        <v>52</v>
      </c>
      <c r="H37" s="22">
        <v>4.9</v>
      </c>
      <c r="I37" s="22">
        <v>757.0</v>
      </c>
      <c r="J37" s="28" t="s">
        <v>515</v>
      </c>
      <c r="K37" s="22" t="s">
        <v>504</v>
      </c>
      <c r="L37" s="22" t="s">
        <v>118</v>
      </c>
      <c r="M37" s="22" t="s">
        <v>119</v>
      </c>
    </row>
    <row r="38">
      <c r="A38" s="21">
        <v>37.0</v>
      </c>
      <c r="B38" s="22" t="s">
        <v>517</v>
      </c>
      <c r="C38" s="22" t="s">
        <v>521</v>
      </c>
      <c r="D38" s="24" t="str">
        <f>IF(OR(Cleaned!A38="",LOWER(Cleaned!A38)="not available",LOWER(Cleaned!A38)="not found"),"Not Available",HYPERLINK(Cleaned!A38,"Website"))</f>
        <v>Not Available</v>
      </c>
      <c r="E38" s="24" t="str">
        <f>IF(OR(Cleaned!C38="",LOWER(Cleaned!C38)="not available",LOWER(Cleaned!C38)="not found"),"Not Available",HYPERLINK(Cleaned!C38,"Instagram"))</f>
        <v>Not Available</v>
      </c>
      <c r="F38" s="23" t="str">
        <f>IF(OR(Cleaned!D38="",LOWER(Cleaned!D38)="not available",LOWER(Cleaned!D38)="not found"),"Not Available",HYPERLINK(Cleaned!D38,"Maps"))</f>
        <v>Maps</v>
      </c>
      <c r="G38" s="25" t="s">
        <v>522</v>
      </c>
      <c r="H38" s="22">
        <v>4.8</v>
      </c>
      <c r="I38" s="22">
        <v>525.0</v>
      </c>
      <c r="J38" s="28" t="s">
        <v>523</v>
      </c>
      <c r="K38" s="27" t="s">
        <v>42</v>
      </c>
      <c r="L38" s="22" t="s">
        <v>148</v>
      </c>
      <c r="M38" s="22" t="s">
        <v>149</v>
      </c>
    </row>
    <row r="39">
      <c r="A39" s="21">
        <v>38.0</v>
      </c>
      <c r="B39" s="22" t="s">
        <v>529</v>
      </c>
      <c r="C39" s="22" t="s">
        <v>279</v>
      </c>
      <c r="D39" s="23" t="str">
        <f>IF(OR(Cleaned!A39="",LOWER(Cleaned!A39)="not available",LOWER(Cleaned!A39)="not found"),"Not Available",HYPERLINK(Cleaned!A39,"Website"))</f>
        <v>Website</v>
      </c>
      <c r="E39" s="23" t="str">
        <f>IF(OR(Cleaned!C39="",LOWER(Cleaned!C39)="not available",LOWER(Cleaned!C39)="not found"),"Not Available",HYPERLINK(Cleaned!C39,"Instagram"))</f>
        <v>Instagram</v>
      </c>
      <c r="F39" s="23" t="str">
        <f>IF(OR(Cleaned!D39="",LOWER(Cleaned!D39)="not available",LOWER(Cleaned!D39)="not found"),"Not Available",HYPERLINK(Cleaned!D39,"Maps"))</f>
        <v>Maps</v>
      </c>
      <c r="G39" s="25" t="s">
        <v>533</v>
      </c>
      <c r="H39" s="22">
        <v>4.9</v>
      </c>
      <c r="I39" s="22">
        <v>590.0</v>
      </c>
      <c r="J39" s="28" t="s">
        <v>534</v>
      </c>
      <c r="K39" s="22" t="s">
        <v>535</v>
      </c>
      <c r="L39" s="22" t="s">
        <v>118</v>
      </c>
      <c r="M39" s="22" t="s">
        <v>119</v>
      </c>
    </row>
    <row r="40">
      <c r="A40" s="21">
        <v>39.0</v>
      </c>
      <c r="B40" s="22" t="s">
        <v>537</v>
      </c>
      <c r="C40" s="22" t="s">
        <v>74</v>
      </c>
      <c r="D40" s="24" t="str">
        <f>IF(OR(Cleaned!A40="",LOWER(Cleaned!A40)="not available",LOWER(Cleaned!A40)="not found"),"Not Available",HYPERLINK(Cleaned!A40,"Website"))</f>
        <v>Not Available</v>
      </c>
      <c r="E40" s="24" t="str">
        <f>IF(OR(Cleaned!C40="",LOWER(Cleaned!C40)="not available",LOWER(Cleaned!C40)="not found"),"Not Available",HYPERLINK(Cleaned!C40,"Instagram"))</f>
        <v>Not Available</v>
      </c>
      <c r="F40" s="23" t="str">
        <f>IF(OR(Cleaned!D40="",LOWER(Cleaned!D40)="not available",LOWER(Cleaned!D40)="not found"),"Not Available",HYPERLINK(Cleaned!D40,"Maps"))</f>
        <v>Maps</v>
      </c>
      <c r="G40" s="25" t="s">
        <v>539</v>
      </c>
      <c r="H40" s="22">
        <v>4.6</v>
      </c>
      <c r="I40" s="22">
        <v>22.0</v>
      </c>
      <c r="J40" s="28" t="s">
        <v>540</v>
      </c>
      <c r="K40" s="22" t="s">
        <v>614</v>
      </c>
      <c r="L40" s="22" t="s">
        <v>148</v>
      </c>
      <c r="M40" s="22" t="s">
        <v>149</v>
      </c>
    </row>
    <row r="41">
      <c r="A41" s="21">
        <v>40.0</v>
      </c>
      <c r="B41" s="22" t="s">
        <v>543</v>
      </c>
      <c r="C41" s="22" t="s">
        <v>322</v>
      </c>
      <c r="D41" s="23" t="str">
        <f>IF(OR(Cleaned!A41="",LOWER(Cleaned!A41)="not available",LOWER(Cleaned!A41)="not found"),"Not Available",HYPERLINK(Cleaned!A41,"Website"))</f>
        <v>Website</v>
      </c>
      <c r="E41" s="24" t="str">
        <f>IF(OR(Cleaned!C41="",LOWER(Cleaned!C41)="not available",LOWER(Cleaned!C41)="not found"),"Not Available",HYPERLINK(Cleaned!C41,"Instagram"))</f>
        <v>Not Available</v>
      </c>
      <c r="F41" s="23" t="str">
        <f>IF(OR(Cleaned!D41="",LOWER(Cleaned!D41)="not available",LOWER(Cleaned!D41)="not found"),"Not Available",HYPERLINK(Cleaned!D41,"Maps"))</f>
        <v>Maps</v>
      </c>
      <c r="G41" s="25" t="s">
        <v>545</v>
      </c>
      <c r="H41" s="22">
        <v>4.8</v>
      </c>
      <c r="I41" s="22">
        <v>174.0</v>
      </c>
      <c r="J41" s="28" t="s">
        <v>546</v>
      </c>
      <c r="K41" s="22" t="s">
        <v>625</v>
      </c>
      <c r="L41" s="22" t="s">
        <v>98</v>
      </c>
      <c r="M41" s="22" t="s">
        <v>100</v>
      </c>
    </row>
    <row r="42">
      <c r="A42" s="21">
        <v>41.0</v>
      </c>
      <c r="B42" s="22" t="s">
        <v>550</v>
      </c>
      <c r="C42" s="22" t="s">
        <v>553</v>
      </c>
      <c r="D42" s="23" t="str">
        <f>IF(OR(Cleaned!A42="",LOWER(Cleaned!A42)="not available",LOWER(Cleaned!A42)="not found"),"Not Available",HYPERLINK(Cleaned!A42,"Website"))</f>
        <v>Website</v>
      </c>
      <c r="E42" s="24" t="str">
        <f>IF(OR(Cleaned!C42="",LOWER(Cleaned!C42)="not available",LOWER(Cleaned!C42)="not found"),"Not Available",HYPERLINK(Cleaned!C42,"Instagram"))</f>
        <v>Not Available</v>
      </c>
      <c r="F42" s="23" t="str">
        <f>IF(OR(Cleaned!D42="",LOWER(Cleaned!D42)="not available",LOWER(Cleaned!D42)="not found"),"Not Available",HYPERLINK(Cleaned!D42,"Maps"))</f>
        <v>Maps</v>
      </c>
      <c r="G42" s="25" t="s">
        <v>554</v>
      </c>
      <c r="H42" s="22">
        <v>4.5</v>
      </c>
      <c r="I42" s="22">
        <v>83.0</v>
      </c>
      <c r="J42" s="28" t="s">
        <v>555</v>
      </c>
      <c r="K42" s="27" t="s">
        <v>42</v>
      </c>
      <c r="L42" s="22" t="s">
        <v>98</v>
      </c>
      <c r="M42" s="22" t="s">
        <v>100</v>
      </c>
    </row>
    <row r="43">
      <c r="A43" s="21">
        <v>42.0</v>
      </c>
      <c r="B43" s="22" t="s">
        <v>556</v>
      </c>
      <c r="C43" s="22" t="s">
        <v>559</v>
      </c>
      <c r="D43" s="24" t="str">
        <f>IF(OR(Cleaned!A43="",LOWER(Cleaned!A43)="not available",LOWER(Cleaned!A43)="not found"),"Not Available",HYPERLINK(Cleaned!A43,"Website"))</f>
        <v>Not Available</v>
      </c>
      <c r="E43" s="24" t="str">
        <f>IF(OR(Cleaned!C43="",LOWER(Cleaned!C43)="not available",LOWER(Cleaned!C43)="not found"),"Not Available",HYPERLINK(Cleaned!C43,"Instagram"))</f>
        <v>Not Available</v>
      </c>
      <c r="F43" s="23" t="str">
        <f>IF(OR(Cleaned!D43="",LOWER(Cleaned!D43)="not available",LOWER(Cleaned!D43)="not found"),"Not Available",HYPERLINK(Cleaned!D43,"Maps"))</f>
        <v>Maps</v>
      </c>
      <c r="G43" s="25" t="s">
        <v>560</v>
      </c>
      <c r="H43" s="22">
        <v>4.9</v>
      </c>
      <c r="I43" s="22">
        <v>170.0</v>
      </c>
      <c r="J43" s="28" t="s">
        <v>165</v>
      </c>
      <c r="K43" s="22" t="s">
        <v>504</v>
      </c>
      <c r="L43" s="22" t="s">
        <v>148</v>
      </c>
      <c r="M43" s="22" t="s">
        <v>149</v>
      </c>
    </row>
    <row r="44">
      <c r="A44" s="21">
        <v>43.0</v>
      </c>
      <c r="B44" s="22" t="s">
        <v>562</v>
      </c>
      <c r="C44" s="22" t="s">
        <v>192</v>
      </c>
      <c r="D44" s="24" t="str">
        <f>IF(OR(Cleaned!A44="",LOWER(Cleaned!A44)="not available",LOWER(Cleaned!A44)="not found"),"Not Available",HYPERLINK(Cleaned!A44,"Website"))</f>
        <v>Not Available</v>
      </c>
      <c r="E44" s="24" t="str">
        <f>IF(OR(Cleaned!C44="",LOWER(Cleaned!C44)="not available",LOWER(Cleaned!C44)="not found"),"Not Available",HYPERLINK(Cleaned!C44,"Instagram"))</f>
        <v>Not Available</v>
      </c>
      <c r="F44" s="23" t="str">
        <f>IF(OR(Cleaned!D44="",LOWER(Cleaned!D44)="not available",LOWER(Cleaned!D44)="not found"),"Not Available",HYPERLINK(Cleaned!D44,"Maps"))</f>
        <v>Maps</v>
      </c>
      <c r="G44" s="25" t="s">
        <v>567</v>
      </c>
      <c r="H44" s="22">
        <v>4.5</v>
      </c>
      <c r="I44" s="22">
        <v>31.0</v>
      </c>
      <c r="J44" s="28" t="s">
        <v>568</v>
      </c>
      <c r="K44" s="27" t="s">
        <v>42</v>
      </c>
      <c r="L44" s="22" t="s">
        <v>148</v>
      </c>
      <c r="M44" s="22" t="s">
        <v>149</v>
      </c>
    </row>
    <row r="45">
      <c r="A45" s="21">
        <v>44.0</v>
      </c>
      <c r="B45" s="22" t="s">
        <v>180</v>
      </c>
      <c r="C45" s="22" t="s">
        <v>181</v>
      </c>
      <c r="D45" s="23" t="str">
        <f>IF(OR(Cleaned!A45="",LOWER(Cleaned!A45)="not available",LOWER(Cleaned!A45)="not found"),"Not Available",HYPERLINK(Cleaned!A45,"Website"))</f>
        <v>Website</v>
      </c>
      <c r="E45" s="23" t="str">
        <f>IF(OR(Cleaned!C45="",LOWER(Cleaned!C45)="not available",LOWER(Cleaned!C45)="not found"),"Not Available",HYPERLINK(Cleaned!C45,"Instagram"))</f>
        <v>Instagram</v>
      </c>
      <c r="F45" s="23" t="str">
        <f>IF(OR(Cleaned!D45="",LOWER(Cleaned!D45)="not available",LOWER(Cleaned!D45)="not found"),"Not Available",HYPERLINK(Cleaned!D45,"Maps"))</f>
        <v>Maps</v>
      </c>
      <c r="G45" s="25" t="s">
        <v>182</v>
      </c>
      <c r="H45" s="22">
        <v>4.9</v>
      </c>
      <c r="I45" s="22">
        <v>330.0</v>
      </c>
      <c r="J45" s="26" t="s">
        <v>42</v>
      </c>
      <c r="K45" s="22" t="s">
        <v>162</v>
      </c>
      <c r="L45" s="22" t="s">
        <v>118</v>
      </c>
      <c r="M45" s="22" t="s">
        <v>119</v>
      </c>
    </row>
    <row r="46">
      <c r="A46" s="21">
        <v>45.0</v>
      </c>
      <c r="B46" s="22" t="s">
        <v>578</v>
      </c>
      <c r="C46" s="22" t="s">
        <v>102</v>
      </c>
      <c r="D46" s="24" t="str">
        <f>IF(OR(Cleaned!A46="",LOWER(Cleaned!A46)="not available",LOWER(Cleaned!A46)="not found"),"Not Available",HYPERLINK(Cleaned!A46,"Website"))</f>
        <v>Not Available</v>
      </c>
      <c r="E46" s="24" t="str">
        <f>IF(OR(Cleaned!C46="",LOWER(Cleaned!C46)="not available",LOWER(Cleaned!C46)="not found"),"Not Available",HYPERLINK(Cleaned!C46,"Instagram"))</f>
        <v>Not Available</v>
      </c>
      <c r="F46" s="23" t="str">
        <f>IF(OR(Cleaned!D46="",LOWER(Cleaned!D46)="not available",LOWER(Cleaned!D46)="not found"),"Not Available",HYPERLINK(Cleaned!D46,"Maps"))</f>
        <v>Maps</v>
      </c>
      <c r="G46" s="25" t="s">
        <v>582</v>
      </c>
      <c r="H46" s="22">
        <v>5.0</v>
      </c>
      <c r="I46" s="22">
        <v>31.0</v>
      </c>
      <c r="J46" s="26" t="s">
        <v>42</v>
      </c>
      <c r="K46" s="22" t="s">
        <v>584</v>
      </c>
      <c r="L46" s="22" t="s">
        <v>148</v>
      </c>
      <c r="M46" s="22" t="s">
        <v>149</v>
      </c>
    </row>
    <row r="47">
      <c r="A47" s="21">
        <v>46.0</v>
      </c>
      <c r="B47" s="22" t="s">
        <v>588</v>
      </c>
      <c r="C47" s="22" t="s">
        <v>51</v>
      </c>
      <c r="D47" s="23" t="str">
        <f>IF(OR(Cleaned!A47="",LOWER(Cleaned!A47)="not available",LOWER(Cleaned!A47)="not found"),"Not Available",HYPERLINK(Cleaned!A47,"Website"))</f>
        <v>Website</v>
      </c>
      <c r="E47" s="24" t="str">
        <f>IF(OR(Cleaned!C47="",LOWER(Cleaned!C47)="not available",LOWER(Cleaned!C47)="not found"),"Not Available",HYPERLINK(Cleaned!C47,"Instagram"))</f>
        <v>Not Available</v>
      </c>
      <c r="F47" s="23" t="str">
        <f>IF(OR(Cleaned!D47="",LOWER(Cleaned!D47)="not available",LOWER(Cleaned!D47)="not found"),"Not Available",HYPERLINK(Cleaned!D47,"Maps"))</f>
        <v>Maps</v>
      </c>
      <c r="G47" s="25" t="s">
        <v>592</v>
      </c>
      <c r="H47" s="22">
        <v>4.9</v>
      </c>
      <c r="I47" s="22">
        <v>222.0</v>
      </c>
      <c r="J47" s="28" t="s">
        <v>90</v>
      </c>
      <c r="K47" s="22" t="s">
        <v>594</v>
      </c>
      <c r="L47" s="22" t="s">
        <v>98</v>
      </c>
      <c r="M47" s="22" t="s">
        <v>100</v>
      </c>
    </row>
    <row r="48">
      <c r="A48" s="21">
        <v>47.0</v>
      </c>
      <c r="B48" s="22" t="s">
        <v>365</v>
      </c>
      <c r="C48" s="22" t="s">
        <v>366</v>
      </c>
      <c r="D48" s="23" t="str">
        <f>IF(OR(Cleaned!A48="",LOWER(Cleaned!A48)="not available",LOWER(Cleaned!A48)="not found"),"Not Available",HYPERLINK(Cleaned!A48,"Website"))</f>
        <v>Website</v>
      </c>
      <c r="E48" s="23" t="str">
        <f>IF(OR(Cleaned!C48="",LOWER(Cleaned!C48)="not available",LOWER(Cleaned!C48)="not found"),"Not Available",HYPERLINK(Cleaned!C48,"Instagram"))</f>
        <v>Instagram</v>
      </c>
      <c r="F48" s="23" t="str">
        <f>IF(OR(Cleaned!D48="",LOWER(Cleaned!D48)="not available",LOWER(Cleaned!D48)="not found"),"Not Available",HYPERLINK(Cleaned!D48,"Maps"))</f>
        <v>Maps</v>
      </c>
      <c r="G48" s="25" t="s">
        <v>369</v>
      </c>
      <c r="H48" s="22">
        <v>5.0</v>
      </c>
      <c r="I48" s="22">
        <v>18.0</v>
      </c>
      <c r="J48" s="28" t="s">
        <v>372</v>
      </c>
      <c r="K48" s="22" t="s">
        <v>686</v>
      </c>
      <c r="L48" s="22" t="s">
        <v>118</v>
      </c>
      <c r="M48" s="22" t="s">
        <v>119</v>
      </c>
    </row>
    <row r="49">
      <c r="A49" s="21">
        <v>48.0</v>
      </c>
      <c r="B49" s="22" t="s">
        <v>607</v>
      </c>
      <c r="C49" s="22" t="s">
        <v>102</v>
      </c>
      <c r="D49" s="23" t="str">
        <f>IF(OR(Cleaned!A49="",LOWER(Cleaned!A49)="not available",LOWER(Cleaned!A49)="not found"),"Not Available",HYPERLINK(Cleaned!A49,"Website"))</f>
        <v>Website</v>
      </c>
      <c r="E49" s="23" t="str">
        <f>IF(OR(Cleaned!C49="",LOWER(Cleaned!C49)="not available",LOWER(Cleaned!C49)="not found"),"Not Available",HYPERLINK(Cleaned!C49,"Instagram"))</f>
        <v>Instagram</v>
      </c>
      <c r="F49" s="23" t="str">
        <f>IF(OR(Cleaned!D49="",LOWER(Cleaned!D49)="not available",LOWER(Cleaned!D49)="not found"),"Not Available",HYPERLINK(Cleaned!D49,"Maps"))</f>
        <v>Maps</v>
      </c>
      <c r="G49" s="25" t="s">
        <v>610</v>
      </c>
      <c r="H49" s="22">
        <v>4.8</v>
      </c>
      <c r="I49" s="22">
        <v>257.0</v>
      </c>
      <c r="J49" s="28" t="s">
        <v>611</v>
      </c>
      <c r="K49" s="22" t="s">
        <v>504</v>
      </c>
      <c r="L49" s="22" t="s">
        <v>118</v>
      </c>
      <c r="M49" s="22" t="s">
        <v>119</v>
      </c>
    </row>
    <row r="50">
      <c r="A50" s="21">
        <v>49.0</v>
      </c>
      <c r="B50" s="22" t="s">
        <v>601</v>
      </c>
      <c r="C50" s="22" t="s">
        <v>115</v>
      </c>
      <c r="D50" s="23" t="str">
        <f>IF(OR(Cleaned!A50="",LOWER(Cleaned!A50)="not available",LOWER(Cleaned!A50)="not found"),"Not Available",HYPERLINK(Cleaned!A50,"Website"))</f>
        <v>Website</v>
      </c>
      <c r="E50" s="24" t="str">
        <f>IF(OR(Cleaned!C50="",LOWER(Cleaned!C50)="not available",LOWER(Cleaned!C50)="not found"),"Not Available",HYPERLINK(Cleaned!C50,"Instagram"))</f>
        <v>Not Available</v>
      </c>
      <c r="F50" s="23" t="str">
        <f>IF(OR(Cleaned!D50="",LOWER(Cleaned!D50)="not available",LOWER(Cleaned!D50)="not found"),"Not Available",HYPERLINK(Cleaned!D50,"Maps"))</f>
        <v>Maps</v>
      </c>
      <c r="G50" s="25" t="s">
        <v>602</v>
      </c>
      <c r="H50" s="22">
        <v>4.8</v>
      </c>
      <c r="I50" s="22">
        <v>238.0</v>
      </c>
      <c r="J50" s="28" t="s">
        <v>603</v>
      </c>
      <c r="K50" s="22" t="s">
        <v>703</v>
      </c>
      <c r="L50" s="22" t="s">
        <v>98</v>
      </c>
      <c r="M50" s="22" t="s">
        <v>100</v>
      </c>
    </row>
    <row r="51">
      <c r="A51" s="21">
        <v>50.0</v>
      </c>
      <c r="B51" s="22" t="s">
        <v>621</v>
      </c>
      <c r="C51" s="22" t="s">
        <v>51</v>
      </c>
      <c r="D51" s="23" t="str">
        <f>IF(OR(Cleaned!A51="",LOWER(Cleaned!A51)="not available",LOWER(Cleaned!A51)="not found"),"Not Available",HYPERLINK(Cleaned!A51,"Website"))</f>
        <v>Website</v>
      </c>
      <c r="E51" s="24" t="str">
        <f>IF(OR(Cleaned!C51="",LOWER(Cleaned!C51)="not available",LOWER(Cleaned!C51)="not found"),"Not Available",HYPERLINK(Cleaned!C51,"Instagram"))</f>
        <v>Not Available</v>
      </c>
      <c r="F51" s="23" t="str">
        <f>IF(OR(Cleaned!D51="",LOWER(Cleaned!D51)="not available",LOWER(Cleaned!D51)="not found"),"Not Available",HYPERLINK(Cleaned!D51,"Maps"))</f>
        <v>Maps</v>
      </c>
      <c r="G51" s="25" t="s">
        <v>626</v>
      </c>
      <c r="H51" s="22">
        <v>4.9</v>
      </c>
      <c r="I51" s="22">
        <v>157.0</v>
      </c>
      <c r="J51" s="28" t="s">
        <v>627</v>
      </c>
      <c r="K51" s="22" t="s">
        <v>709</v>
      </c>
      <c r="L51" s="22" t="s">
        <v>98</v>
      </c>
      <c r="M51" s="22" t="s">
        <v>100</v>
      </c>
    </row>
    <row r="52">
      <c r="A52" s="21">
        <v>51.0</v>
      </c>
      <c r="B52" s="22" t="s">
        <v>632</v>
      </c>
      <c r="C52" s="22" t="s">
        <v>616</v>
      </c>
      <c r="D52" s="23" t="str">
        <f>IF(OR(Cleaned!A52="",LOWER(Cleaned!A52)="not available",LOWER(Cleaned!A52)="not found"),"Not Available",HYPERLINK(Cleaned!A52,"Website"))</f>
        <v>Website</v>
      </c>
      <c r="E52" s="24" t="str">
        <f>IF(OR(Cleaned!C52="",LOWER(Cleaned!C52)="not available",LOWER(Cleaned!C52)="not found"),"Not Available",HYPERLINK(Cleaned!C52,"Instagram"))</f>
        <v>Not Available</v>
      </c>
      <c r="F52" s="23" t="str">
        <f>IF(OR(Cleaned!D52="",LOWER(Cleaned!D52)="not available",LOWER(Cleaned!D52)="not found"),"Not Available",HYPERLINK(Cleaned!D52,"Maps"))</f>
        <v>Maps</v>
      </c>
      <c r="G52" s="25" t="s">
        <v>636</v>
      </c>
      <c r="H52" s="22">
        <v>4.2</v>
      </c>
      <c r="I52" s="22">
        <v>70.0</v>
      </c>
      <c r="J52" s="28" t="s">
        <v>638</v>
      </c>
      <c r="K52" s="22" t="s">
        <v>713</v>
      </c>
      <c r="L52" s="22" t="s">
        <v>98</v>
      </c>
      <c r="M52" s="22" t="s">
        <v>100</v>
      </c>
    </row>
    <row r="53">
      <c r="A53" s="21">
        <v>52.0</v>
      </c>
      <c r="B53" s="22" t="s">
        <v>643</v>
      </c>
      <c r="C53" s="22" t="s">
        <v>322</v>
      </c>
      <c r="D53" s="24" t="str">
        <f>IF(OR(Cleaned!A53="",LOWER(Cleaned!A53)="not available",LOWER(Cleaned!A53)="not found"),"Not Available",HYPERLINK(Cleaned!A53,"Website"))</f>
        <v>Not Available</v>
      </c>
      <c r="E53" s="23" t="str">
        <f>IF(OR(Cleaned!C53="",LOWER(Cleaned!C53)="not available",LOWER(Cleaned!C53)="not found"),"Not Available",HYPERLINK(Cleaned!C53,"Instagram"))</f>
        <v>Instagram</v>
      </c>
      <c r="F53" s="23" t="str">
        <f>IF(OR(Cleaned!D53="",LOWER(Cleaned!D53)="not available",LOWER(Cleaned!D53)="not found"),"Not Available",HYPERLINK(Cleaned!D53,"Maps"))</f>
        <v>Maps</v>
      </c>
      <c r="G53" s="25" t="s">
        <v>648</v>
      </c>
      <c r="H53" s="22">
        <v>5.0</v>
      </c>
      <c r="I53" s="22">
        <v>34.0</v>
      </c>
      <c r="J53" s="28" t="s">
        <v>649</v>
      </c>
      <c r="K53" s="22" t="s">
        <v>717</v>
      </c>
      <c r="L53" s="22" t="s">
        <v>98</v>
      </c>
      <c r="M53" s="22" t="s">
        <v>718</v>
      </c>
    </row>
    <row r="54">
      <c r="A54" s="21">
        <v>53.0</v>
      </c>
      <c r="B54" s="22" t="s">
        <v>652</v>
      </c>
      <c r="C54" s="22" t="s">
        <v>655</v>
      </c>
      <c r="D54" s="23" t="str">
        <f>IF(OR(Cleaned!A54="",LOWER(Cleaned!A54)="not available",LOWER(Cleaned!A54)="not found"),"Not Available",HYPERLINK(Cleaned!A54,"Website"))</f>
        <v>Website</v>
      </c>
      <c r="E54" s="23" t="str">
        <f>IF(OR(Cleaned!C54="",LOWER(Cleaned!C54)="not available",LOWER(Cleaned!C54)="not found"),"Not Available",HYPERLINK(Cleaned!C54,"Instagram"))</f>
        <v>Instagram</v>
      </c>
      <c r="F54" s="23" t="str">
        <f>IF(OR(Cleaned!D54="",LOWER(Cleaned!D54)="not available",LOWER(Cleaned!D54)="not found"),"Not Available",HYPERLINK(Cleaned!D54,"Maps"))</f>
        <v>Maps</v>
      </c>
      <c r="G54" s="25" t="s">
        <v>656</v>
      </c>
      <c r="H54" s="22">
        <v>4.7</v>
      </c>
      <c r="I54" s="22">
        <v>108.0</v>
      </c>
      <c r="J54" s="28" t="s">
        <v>657</v>
      </c>
      <c r="K54" s="27" t="s">
        <v>42</v>
      </c>
      <c r="L54" s="22" t="s">
        <v>118</v>
      </c>
      <c r="M54" s="22" t="s">
        <v>119</v>
      </c>
    </row>
    <row r="55">
      <c r="A55" s="21">
        <v>54.0</v>
      </c>
      <c r="B55" s="22" t="s">
        <v>583</v>
      </c>
      <c r="C55" s="22" t="s">
        <v>322</v>
      </c>
      <c r="D55" s="23" t="str">
        <f>IF(OR(Cleaned!A55="",LOWER(Cleaned!A55)="not available",LOWER(Cleaned!A55)="not found"),"Not Available",HYPERLINK(Cleaned!A55,"Website"))</f>
        <v>Website</v>
      </c>
      <c r="E55" s="24" t="str">
        <f>IF(OR(Cleaned!C55="",LOWER(Cleaned!C55)="not available",LOWER(Cleaned!C55)="not found"),"Not Available",HYPERLINK(Cleaned!C55,"Instagram"))</f>
        <v>Not Available</v>
      </c>
      <c r="F55" s="23" t="str">
        <f>IF(OR(Cleaned!D55="",LOWER(Cleaned!D55)="not available",LOWER(Cleaned!D55)="not found"),"Not Available",HYPERLINK(Cleaned!D55,"Maps"))</f>
        <v>Maps</v>
      </c>
      <c r="G55" s="25" t="s">
        <v>586</v>
      </c>
      <c r="H55" s="22">
        <v>4.4</v>
      </c>
      <c r="I55" s="22">
        <v>158.0</v>
      </c>
      <c r="J55" s="26" t="s">
        <v>42</v>
      </c>
      <c r="K55" s="27" t="s">
        <v>42</v>
      </c>
      <c r="L55" s="22" t="s">
        <v>98</v>
      </c>
      <c r="M55" s="22" t="s">
        <v>100</v>
      </c>
    </row>
    <row r="56">
      <c r="A56" s="21">
        <v>55.0</v>
      </c>
      <c r="B56" s="22" t="s">
        <v>170</v>
      </c>
      <c r="C56" s="22" t="s">
        <v>51</v>
      </c>
      <c r="D56" s="24" t="str">
        <f>IF(OR(Cleaned!A56="",LOWER(Cleaned!A56)="not available",LOWER(Cleaned!A56)="not found"),"Not Available",HYPERLINK(Cleaned!A56,"Website"))</f>
        <v>Not Available</v>
      </c>
      <c r="E56" s="24" t="str">
        <f>IF(OR(Cleaned!C56="",LOWER(Cleaned!C56)="not available",LOWER(Cleaned!C56)="not found"),"Not Available",HYPERLINK(Cleaned!C56,"Instagram"))</f>
        <v>Not Available</v>
      </c>
      <c r="F56" s="23" t="str">
        <f>IF(OR(Cleaned!D56="",LOWER(Cleaned!D56)="not available",LOWER(Cleaned!D56)="not found"),"Not Available",HYPERLINK(Cleaned!D56,"Maps"))</f>
        <v>Maps</v>
      </c>
      <c r="G56" s="25" t="s">
        <v>171</v>
      </c>
      <c r="H56" s="22">
        <v>5.0</v>
      </c>
      <c r="I56" s="22">
        <v>98.0</v>
      </c>
      <c r="J56" s="28" t="s">
        <v>172</v>
      </c>
      <c r="K56" s="22" t="s">
        <v>737</v>
      </c>
      <c r="L56" s="22" t="s">
        <v>148</v>
      </c>
      <c r="M56" s="22" t="s">
        <v>149</v>
      </c>
    </row>
    <row r="57">
      <c r="A57" s="21">
        <v>56.0</v>
      </c>
      <c r="B57" s="22" t="s">
        <v>666</v>
      </c>
      <c r="C57" s="22" t="s">
        <v>51</v>
      </c>
      <c r="D57" s="23" t="str">
        <f>IF(OR(Cleaned!A57="",LOWER(Cleaned!A57)="not available",LOWER(Cleaned!A57)="not found"),"Not Available",HYPERLINK(Cleaned!A57,"Website"))</f>
        <v>Website</v>
      </c>
      <c r="E57" s="24" t="str">
        <f>IF(OR(Cleaned!C57="",LOWER(Cleaned!C57)="not available",LOWER(Cleaned!C57)="not found"),"Not Available",HYPERLINK(Cleaned!C57,"Instagram"))</f>
        <v>Not Available</v>
      </c>
      <c r="F57" s="23" t="str">
        <f>IF(OR(Cleaned!D57="",LOWER(Cleaned!D57)="not available",LOWER(Cleaned!D57)="not found"),"Not Available",HYPERLINK(Cleaned!D57,"Maps"))</f>
        <v>Maps</v>
      </c>
      <c r="G57" s="25" t="s">
        <v>670</v>
      </c>
      <c r="H57" s="22">
        <v>4.9</v>
      </c>
      <c r="I57" s="22">
        <v>101.0</v>
      </c>
      <c r="J57" s="28" t="s">
        <v>671</v>
      </c>
      <c r="K57" s="22" t="s">
        <v>504</v>
      </c>
      <c r="L57" s="22" t="s">
        <v>98</v>
      </c>
      <c r="M57" s="22" t="s">
        <v>100</v>
      </c>
    </row>
    <row r="58">
      <c r="A58" s="21">
        <v>57.0</v>
      </c>
      <c r="B58" s="22" t="s">
        <v>677</v>
      </c>
      <c r="C58" s="22" t="s">
        <v>680</v>
      </c>
      <c r="D58" s="23" t="str">
        <f>IF(OR(Cleaned!A58="",LOWER(Cleaned!A58)="not available",LOWER(Cleaned!A58)="not found"),"Not Available",HYPERLINK(Cleaned!A58,"Website"))</f>
        <v>Website</v>
      </c>
      <c r="E58" s="24" t="str">
        <f>IF(OR(Cleaned!C58="",LOWER(Cleaned!C58)="not available",LOWER(Cleaned!C58)="not found"),"Not Available",HYPERLINK(Cleaned!C58,"Instagram"))</f>
        <v>Not Available</v>
      </c>
      <c r="F58" s="23" t="str">
        <f>IF(OR(Cleaned!D58="",LOWER(Cleaned!D58)="not available",LOWER(Cleaned!D58)="not found"),"Not Available",HYPERLINK(Cleaned!D58,"Maps"))</f>
        <v>Maps</v>
      </c>
      <c r="G58" s="25" t="s">
        <v>681</v>
      </c>
      <c r="H58" s="22">
        <v>4.7</v>
      </c>
      <c r="I58" s="22">
        <v>102.0</v>
      </c>
      <c r="J58" s="28" t="s">
        <v>90</v>
      </c>
      <c r="K58" s="22" t="s">
        <v>682</v>
      </c>
      <c r="L58" s="22" t="s">
        <v>98</v>
      </c>
      <c r="M58" s="22" t="s">
        <v>100</v>
      </c>
    </row>
    <row r="59">
      <c r="A59" s="21">
        <v>58.0</v>
      </c>
      <c r="B59" s="22" t="s">
        <v>143</v>
      </c>
      <c r="C59" s="22" t="s">
        <v>51</v>
      </c>
      <c r="D59" s="24" t="str">
        <f>IF(OR(Cleaned!A59="",LOWER(Cleaned!A59)="not available",LOWER(Cleaned!A59)="not found"),"Not Available",HYPERLINK(Cleaned!A59,"Website"))</f>
        <v>Not Available</v>
      </c>
      <c r="E59" s="24" t="str">
        <f>IF(OR(Cleaned!C59="",LOWER(Cleaned!C59)="not available",LOWER(Cleaned!C59)="not found"),"Not Available",HYPERLINK(Cleaned!C59,"Instagram"))</f>
        <v>Not Available</v>
      </c>
      <c r="F59" s="23" t="str">
        <f>IF(OR(Cleaned!D59="",LOWER(Cleaned!D59)="not available",LOWER(Cleaned!D59)="not found"),"Not Available",HYPERLINK(Cleaned!D59,"Maps"))</f>
        <v>Maps</v>
      </c>
      <c r="G59" s="25" t="s">
        <v>145</v>
      </c>
      <c r="H59" s="22">
        <v>4.8</v>
      </c>
      <c r="I59" s="22">
        <v>41.0</v>
      </c>
      <c r="J59" s="28" t="s">
        <v>147</v>
      </c>
      <c r="K59" s="22" t="s">
        <v>751</v>
      </c>
      <c r="L59" s="22" t="s">
        <v>148</v>
      </c>
      <c r="M59" s="22" t="s">
        <v>149</v>
      </c>
    </row>
    <row r="60">
      <c r="A60" s="21">
        <v>59.0</v>
      </c>
      <c r="B60" s="22" t="s">
        <v>688</v>
      </c>
      <c r="C60" s="22" t="s">
        <v>51</v>
      </c>
      <c r="D60" s="23" t="str">
        <f>IF(OR(Cleaned!A60="",LOWER(Cleaned!A60)="not available",LOWER(Cleaned!A60)="not found"),"Not Available",HYPERLINK(Cleaned!A60,"Website"))</f>
        <v>Website</v>
      </c>
      <c r="E60" s="23" t="str">
        <f>IF(OR(Cleaned!C60="",LOWER(Cleaned!C60)="not available",LOWER(Cleaned!C60)="not found"),"Not Available",HYPERLINK(Cleaned!C60,"Instagram"))</f>
        <v>Instagram</v>
      </c>
      <c r="F60" s="23" t="str">
        <f>IF(OR(Cleaned!D60="",LOWER(Cleaned!D60)="not available",LOWER(Cleaned!D60)="not found"),"Not Available",HYPERLINK(Cleaned!D60,"Maps"))</f>
        <v>Maps</v>
      </c>
      <c r="G60" s="25" t="s">
        <v>694</v>
      </c>
      <c r="H60" s="22">
        <v>4.9</v>
      </c>
      <c r="I60" s="22">
        <v>68.0</v>
      </c>
      <c r="J60" s="26" t="s">
        <v>42</v>
      </c>
      <c r="K60" s="22" t="s">
        <v>755</v>
      </c>
      <c r="L60" s="22" t="s">
        <v>118</v>
      </c>
      <c r="M60" s="22" t="s">
        <v>119</v>
      </c>
    </row>
    <row r="61">
      <c r="A61" s="21">
        <v>60.0</v>
      </c>
      <c r="B61" s="22" t="s">
        <v>337</v>
      </c>
      <c r="C61" s="22" t="s">
        <v>338</v>
      </c>
      <c r="D61" s="23" t="str">
        <f>IF(OR(Cleaned!A61="",LOWER(Cleaned!A61)="not available",LOWER(Cleaned!A61)="not found"),"Not Available",HYPERLINK(Cleaned!A61,"Website"))</f>
        <v>Website</v>
      </c>
      <c r="E61" s="24" t="str">
        <f>IF(OR(Cleaned!C61="",LOWER(Cleaned!C61)="not available",LOWER(Cleaned!C61)="not found"),"Not Available",HYPERLINK(Cleaned!C61,"Instagram"))</f>
        <v>Not Available</v>
      </c>
      <c r="F61" s="23" t="str">
        <f>IF(OR(Cleaned!D61="",LOWER(Cleaned!D61)="not available",LOWER(Cleaned!D61)="not found"),"Not Available",HYPERLINK(Cleaned!D61,"Maps"))</f>
        <v>Maps</v>
      </c>
      <c r="G61" s="25" t="s">
        <v>340</v>
      </c>
      <c r="H61" s="22">
        <v>5.0</v>
      </c>
      <c r="I61" s="22">
        <v>110.0</v>
      </c>
      <c r="J61" s="28" t="s">
        <v>341</v>
      </c>
      <c r="K61" s="22" t="s">
        <v>312</v>
      </c>
      <c r="L61" s="22" t="s">
        <v>98</v>
      </c>
      <c r="M61" s="22" t="s">
        <v>100</v>
      </c>
    </row>
    <row r="62">
      <c r="A62" s="21">
        <v>61.0</v>
      </c>
      <c r="B62" s="22" t="s">
        <v>672</v>
      </c>
      <c r="C62" s="22" t="s">
        <v>559</v>
      </c>
      <c r="D62" s="23" t="str">
        <f>IF(OR(Cleaned!A62="",LOWER(Cleaned!A62)="not available",LOWER(Cleaned!A62)="not found"),"Not Available",HYPERLINK(Cleaned!A62,"Website"))</f>
        <v>Website</v>
      </c>
      <c r="E62" s="23" t="str">
        <f>IF(OR(Cleaned!C62="",LOWER(Cleaned!C62)="not available",LOWER(Cleaned!C62)="not found"),"Not Available",HYPERLINK(Cleaned!C62,"Instagram"))</f>
        <v>Instagram</v>
      </c>
      <c r="F62" s="23" t="str">
        <f>IF(OR(Cleaned!D62="",LOWER(Cleaned!D62)="not available",LOWER(Cleaned!D62)="not found"),"Not Available",HYPERLINK(Cleaned!D62,"Maps"))</f>
        <v>Maps</v>
      </c>
      <c r="G62" s="25" t="s">
        <v>674</v>
      </c>
      <c r="H62" s="22">
        <v>4.9</v>
      </c>
      <c r="I62" s="22">
        <v>352.0</v>
      </c>
      <c r="J62" s="28" t="s">
        <v>675</v>
      </c>
      <c r="K62" s="22" t="s">
        <v>651</v>
      </c>
      <c r="L62" s="22" t="s">
        <v>118</v>
      </c>
      <c r="M62" s="22" t="s">
        <v>119</v>
      </c>
    </row>
    <row r="63">
      <c r="A63" s="21">
        <v>62.0</v>
      </c>
      <c r="B63" s="22" t="s">
        <v>505</v>
      </c>
      <c r="C63" s="22" t="s">
        <v>51</v>
      </c>
      <c r="D63" s="23" t="str">
        <f>IF(OR(Cleaned!A63="",LOWER(Cleaned!A63)="not available",LOWER(Cleaned!A63)="not found"),"Not Available",HYPERLINK(Cleaned!A63,"Website"))</f>
        <v>Website</v>
      </c>
      <c r="E63" s="23" t="str">
        <f>IF(OR(Cleaned!C63="",LOWER(Cleaned!C63)="not available",LOWER(Cleaned!C63)="not found"),"Not Available",HYPERLINK(Cleaned!C63,"Instagram"))</f>
        <v>Instagram</v>
      </c>
      <c r="F63" s="23" t="str">
        <f>IF(OR(Cleaned!D63="",LOWER(Cleaned!D63)="not available",LOWER(Cleaned!D63)="not found"),"Not Available",HYPERLINK(Cleaned!D63,"Maps"))</f>
        <v>Maps</v>
      </c>
      <c r="G63" s="25" t="s">
        <v>506</v>
      </c>
      <c r="H63" s="22">
        <v>4.9</v>
      </c>
      <c r="I63" s="22">
        <v>111.0</v>
      </c>
      <c r="J63" s="28" t="s">
        <v>507</v>
      </c>
      <c r="K63" s="22" t="s">
        <v>475</v>
      </c>
      <c r="L63" s="22" t="s">
        <v>118</v>
      </c>
      <c r="M63" s="22" t="s">
        <v>119</v>
      </c>
    </row>
    <row r="64">
      <c r="A64" s="21">
        <v>63.0</v>
      </c>
      <c r="B64" s="22" t="s">
        <v>637</v>
      </c>
      <c r="C64" s="22" t="s">
        <v>640</v>
      </c>
      <c r="D64" s="23" t="str">
        <f>IF(OR(Cleaned!A64="",LOWER(Cleaned!A64)="not available",LOWER(Cleaned!A64)="not found"),"Not Available",HYPERLINK(Cleaned!A64,"Website"))</f>
        <v>Website</v>
      </c>
      <c r="E64" s="23" t="str">
        <f>IF(OR(Cleaned!C64="",LOWER(Cleaned!C64)="not available",LOWER(Cleaned!C64)="not found"),"Not Available",HYPERLINK(Cleaned!C64,"Instagram"))</f>
        <v>Instagram</v>
      </c>
      <c r="F64" s="23" t="str">
        <f>IF(OR(Cleaned!D64="",LOWER(Cleaned!D64)="not available",LOWER(Cleaned!D64)="not found"),"Not Available",HYPERLINK(Cleaned!D64,"Maps"))</f>
        <v>Maps</v>
      </c>
      <c r="G64" s="25" t="s">
        <v>641</v>
      </c>
      <c r="H64" s="22">
        <v>4.8</v>
      </c>
      <c r="I64" s="22">
        <v>317.0</v>
      </c>
      <c r="J64" s="28" t="s">
        <v>515</v>
      </c>
      <c r="K64" s="22" t="s">
        <v>770</v>
      </c>
      <c r="L64" s="22" t="s">
        <v>118</v>
      </c>
      <c r="M64" s="22" t="s">
        <v>119</v>
      </c>
    </row>
    <row r="65">
      <c r="A65" s="21">
        <v>64.0</v>
      </c>
      <c r="B65" s="22" t="s">
        <v>715</v>
      </c>
      <c r="C65" s="22" t="s">
        <v>181</v>
      </c>
      <c r="D65" s="24" t="str">
        <f>IF(OR(Cleaned!A65="",LOWER(Cleaned!A65)="not available",LOWER(Cleaned!A65)="not found"),"Not Available",HYPERLINK(Cleaned!A65,"Website"))</f>
        <v>Not Available</v>
      </c>
      <c r="E65" s="24" t="str">
        <f>IF(OR(Cleaned!C65="",LOWER(Cleaned!C65)="not available",LOWER(Cleaned!C65)="not found"),"Not Available",HYPERLINK(Cleaned!C65,"Instagram"))</f>
        <v>Not Available</v>
      </c>
      <c r="F65" s="23" t="str">
        <f>IF(OR(Cleaned!D65="",LOWER(Cleaned!D65)="not available",LOWER(Cleaned!D65)="not found"),"Not Available",HYPERLINK(Cleaned!D65,"Maps"))</f>
        <v>Maps</v>
      </c>
      <c r="G65" s="25" t="s">
        <v>719</v>
      </c>
      <c r="H65" s="22">
        <v>4.9</v>
      </c>
      <c r="I65" s="22">
        <v>28.0</v>
      </c>
      <c r="J65" s="28" t="s">
        <v>720</v>
      </c>
      <c r="K65" s="22" t="s">
        <v>721</v>
      </c>
      <c r="L65" s="22" t="s">
        <v>148</v>
      </c>
      <c r="M65" s="22" t="s">
        <v>149</v>
      </c>
    </row>
    <row r="66">
      <c r="A66" s="21">
        <v>65.0</v>
      </c>
      <c r="B66" s="22" t="s">
        <v>697</v>
      </c>
      <c r="C66" s="22" t="s">
        <v>192</v>
      </c>
      <c r="D66" s="24" t="str">
        <f>IF(OR(Cleaned!A66="",LOWER(Cleaned!A66)="not available",LOWER(Cleaned!A66)="not found"),"Not Available",HYPERLINK(Cleaned!A66,"Website"))</f>
        <v>Not Available</v>
      </c>
      <c r="E66" s="24" t="str">
        <f>IF(OR(Cleaned!C66="",LOWER(Cleaned!C66)="not available",LOWER(Cleaned!C66)="not found"),"Not Available",HYPERLINK(Cleaned!C66,"Instagram"))</f>
        <v>Not Available</v>
      </c>
      <c r="F66" s="23" t="str">
        <f>IF(OR(Cleaned!D66="",LOWER(Cleaned!D66)="not available",LOWER(Cleaned!D66)="not found"),"Not Available",HYPERLINK(Cleaned!D66,"Maps"))</f>
        <v>Maps</v>
      </c>
      <c r="G66" s="25" t="s">
        <v>698</v>
      </c>
      <c r="H66" s="22">
        <v>4.7</v>
      </c>
      <c r="I66" s="22">
        <v>50.0</v>
      </c>
      <c r="J66" s="28" t="s">
        <v>699</v>
      </c>
      <c r="K66" s="22" t="s">
        <v>779</v>
      </c>
      <c r="L66" s="22" t="s">
        <v>148</v>
      </c>
      <c r="M66" s="22" t="s">
        <v>149</v>
      </c>
    </row>
    <row r="67">
      <c r="A67" s="21">
        <v>66.0</v>
      </c>
      <c r="B67" s="22" t="s">
        <v>725</v>
      </c>
      <c r="C67" s="22" t="s">
        <v>728</v>
      </c>
      <c r="D67" s="23" t="str">
        <f>IF(OR(Cleaned!A67="",LOWER(Cleaned!A67)="not available",LOWER(Cleaned!A67)="not found"),"Not Available",HYPERLINK(Cleaned!A67,"Website"))</f>
        <v>Website</v>
      </c>
      <c r="E67" s="24" t="str">
        <f>IF(OR(Cleaned!C67="",LOWER(Cleaned!C67)="not available",LOWER(Cleaned!C67)="not found"),"Not Available",HYPERLINK(Cleaned!C67,"Instagram"))</f>
        <v>Not Available</v>
      </c>
      <c r="F67" s="23" t="str">
        <f>IF(OR(Cleaned!D67="",LOWER(Cleaned!D67)="not available",LOWER(Cleaned!D67)="not found"),"Not Available",HYPERLINK(Cleaned!D67,"Maps"))</f>
        <v>Maps</v>
      </c>
      <c r="G67" s="25" t="s">
        <v>729</v>
      </c>
      <c r="H67" s="22">
        <v>4.5</v>
      </c>
      <c r="I67" s="22">
        <v>138.0</v>
      </c>
      <c r="J67" s="28" t="s">
        <v>731</v>
      </c>
      <c r="K67" s="22" t="s">
        <v>784</v>
      </c>
      <c r="L67" s="22" t="s">
        <v>98</v>
      </c>
      <c r="M67" s="22" t="s">
        <v>100</v>
      </c>
    </row>
    <row r="68">
      <c r="A68" s="21">
        <v>67.0</v>
      </c>
      <c r="B68" s="22" t="s">
        <v>204</v>
      </c>
      <c r="C68" s="22" t="s">
        <v>192</v>
      </c>
      <c r="D68" s="24" t="str">
        <f>IF(OR(Cleaned!A68="",LOWER(Cleaned!A68)="not available",LOWER(Cleaned!A68)="not found"),"Not Available",HYPERLINK(Cleaned!A68,"Website"))</f>
        <v>Not Available</v>
      </c>
      <c r="E68" s="24" t="str">
        <f>IF(OR(Cleaned!C68="",LOWER(Cleaned!C68)="not available",LOWER(Cleaned!C68)="not found"),"Not Available",HYPERLINK(Cleaned!C68,"Instagram"))</f>
        <v>Not Available</v>
      </c>
      <c r="F68" s="23" t="str">
        <f>IF(OR(Cleaned!D68="",LOWER(Cleaned!D68)="not available",LOWER(Cleaned!D68)="not found"),"Not Available",HYPERLINK(Cleaned!D68,"Maps"))</f>
        <v>Maps</v>
      </c>
      <c r="G68" s="25" t="s">
        <v>205</v>
      </c>
      <c r="H68" s="22">
        <v>4.8</v>
      </c>
      <c r="I68" s="22">
        <v>512.0</v>
      </c>
      <c r="J68" s="28" t="s">
        <v>206</v>
      </c>
      <c r="K68" s="22" t="s">
        <v>183</v>
      </c>
      <c r="L68" s="22" t="s">
        <v>148</v>
      </c>
      <c r="M68" s="22" t="s">
        <v>149</v>
      </c>
    </row>
    <row r="69">
      <c r="A69" s="21">
        <v>68.0</v>
      </c>
      <c r="B69" s="22" t="s">
        <v>491</v>
      </c>
      <c r="C69" s="22" t="s">
        <v>115</v>
      </c>
      <c r="D69" s="23" t="str">
        <f>IF(OR(Cleaned!A69="",LOWER(Cleaned!A69)="not available",LOWER(Cleaned!A69)="not found"),"Not Available",HYPERLINK(Cleaned!A69,"Website"))</f>
        <v>Website</v>
      </c>
      <c r="E69" s="23" t="str">
        <f>IF(OR(Cleaned!C69="",LOWER(Cleaned!C69)="not available",LOWER(Cleaned!C69)="not found"),"Not Available",HYPERLINK(Cleaned!C69,"Instagram"))</f>
        <v>Instagram</v>
      </c>
      <c r="F69" s="23" t="str">
        <f>IF(OR(Cleaned!D69="",LOWER(Cleaned!D69)="not available",LOWER(Cleaned!D69)="not found"),"Not Available",HYPERLINK(Cleaned!D69,"Maps"))</f>
        <v>Maps</v>
      </c>
      <c r="G69" s="25" t="s">
        <v>492</v>
      </c>
      <c r="H69" s="22">
        <v>4.9</v>
      </c>
      <c r="I69" s="22">
        <v>455.0</v>
      </c>
      <c r="J69" s="28" t="s">
        <v>493</v>
      </c>
      <c r="K69" s="22" t="s">
        <v>469</v>
      </c>
      <c r="L69" s="22" t="s">
        <v>118</v>
      </c>
      <c r="M69" s="22" t="s">
        <v>119</v>
      </c>
    </row>
    <row r="70">
      <c r="A70" s="21">
        <v>69.0</v>
      </c>
      <c r="B70" s="22" t="s">
        <v>730</v>
      </c>
      <c r="C70" s="22" t="s">
        <v>51</v>
      </c>
      <c r="D70" s="23" t="str">
        <f>IF(OR(Cleaned!A70="",LOWER(Cleaned!A70)="not available",LOWER(Cleaned!A70)="not found"),"Not Available",HYPERLINK(Cleaned!A70,"Website"))</f>
        <v>Website</v>
      </c>
      <c r="E70" s="24" t="str">
        <f>IF(OR(Cleaned!C70="",LOWER(Cleaned!C70)="not available",LOWER(Cleaned!C70)="not found"),"Not Available",HYPERLINK(Cleaned!C70,"Instagram"))</f>
        <v>Not Available</v>
      </c>
      <c r="F70" s="23" t="str">
        <f>IF(OR(Cleaned!D70="",LOWER(Cleaned!D70)="not available",LOWER(Cleaned!D70)="not found"),"Not Available",HYPERLINK(Cleaned!D70,"Maps"))</f>
        <v>Maps</v>
      </c>
      <c r="G70" s="25" t="s">
        <v>732</v>
      </c>
      <c r="H70" s="22">
        <v>4.8</v>
      </c>
      <c r="I70" s="22">
        <v>96.0</v>
      </c>
      <c r="J70" s="28" t="s">
        <v>733</v>
      </c>
      <c r="K70" s="22" t="s">
        <v>795</v>
      </c>
      <c r="L70" s="22" t="s">
        <v>98</v>
      </c>
      <c r="M70" s="22" t="s">
        <v>100</v>
      </c>
    </row>
    <row r="71">
      <c r="A71" s="21">
        <v>70.0</v>
      </c>
      <c r="B71" s="22" t="s">
        <v>615</v>
      </c>
      <c r="C71" s="22" t="s">
        <v>616</v>
      </c>
      <c r="D71" s="23" t="str">
        <f>IF(OR(Cleaned!A71="",LOWER(Cleaned!A71)="not available",LOWER(Cleaned!A71)="not found"),"Not Available",HYPERLINK(Cleaned!A71,"Website"))</f>
        <v>Website</v>
      </c>
      <c r="E71" s="23" t="str">
        <f>IF(OR(Cleaned!C71="",LOWER(Cleaned!C71)="not available",LOWER(Cleaned!C71)="not found"),"Not Available",HYPERLINK(Cleaned!C71,"Instagram"))</f>
        <v>Instagram</v>
      </c>
      <c r="F71" s="23" t="str">
        <f>IF(OR(Cleaned!D71="",LOWER(Cleaned!D71)="not available",LOWER(Cleaned!D71)="not found"),"Not Available",HYPERLINK(Cleaned!D71,"Maps"))</f>
        <v>Maps</v>
      </c>
      <c r="G71" s="25" t="s">
        <v>617</v>
      </c>
      <c r="H71" s="22">
        <v>5.0</v>
      </c>
      <c r="I71" s="22">
        <v>33.0</v>
      </c>
      <c r="J71" s="28" t="s">
        <v>619</v>
      </c>
      <c r="K71" s="22" t="s">
        <v>803</v>
      </c>
      <c r="L71" s="22" t="s">
        <v>118</v>
      </c>
      <c r="M71" s="22" t="s">
        <v>119</v>
      </c>
    </row>
    <row r="72">
      <c r="A72" s="21">
        <v>71.0</v>
      </c>
      <c r="B72" s="22" t="s">
        <v>629</v>
      </c>
      <c r="C72" s="22" t="s">
        <v>51</v>
      </c>
      <c r="D72" s="24" t="str">
        <f>IF(OR(Cleaned!A72="",LOWER(Cleaned!A72)="not available",LOWER(Cleaned!A72)="not found"),"Not Available",HYPERLINK(Cleaned!A72,"Website"))</f>
        <v>Not Available</v>
      </c>
      <c r="E72" s="24" t="str">
        <f>IF(OR(Cleaned!C72="",LOWER(Cleaned!C72)="not available",LOWER(Cleaned!C72)="not found"),"Not Available",HYPERLINK(Cleaned!C72,"Instagram"))</f>
        <v>Not Available</v>
      </c>
      <c r="F72" s="23" t="str">
        <f>IF(OR(Cleaned!D72="",LOWER(Cleaned!D72)="not available",LOWER(Cleaned!D72)="not found"),"Not Available",HYPERLINK(Cleaned!D72,"Maps"))</f>
        <v>Maps</v>
      </c>
      <c r="G72" s="25" t="s">
        <v>630</v>
      </c>
      <c r="H72" s="22">
        <v>4.9</v>
      </c>
      <c r="I72" s="22">
        <v>41.0</v>
      </c>
      <c r="J72" s="28" t="s">
        <v>631</v>
      </c>
      <c r="K72" s="22" t="s">
        <v>811</v>
      </c>
      <c r="L72" s="22" t="s">
        <v>148</v>
      </c>
      <c r="M72" s="22" t="s">
        <v>149</v>
      </c>
    </row>
    <row r="73">
      <c r="A73" s="21">
        <v>72.0</v>
      </c>
      <c r="B73" s="22" t="s">
        <v>753</v>
      </c>
      <c r="C73" s="22" t="s">
        <v>83</v>
      </c>
      <c r="D73" s="23" t="str">
        <f>IF(OR(Cleaned!A73="",LOWER(Cleaned!A73)="not available",LOWER(Cleaned!A73)="not found"),"Not Available",HYPERLINK(Cleaned!A73,"Website"))</f>
        <v>Website</v>
      </c>
      <c r="E73" s="23" t="str">
        <f>IF(OR(Cleaned!C73="",LOWER(Cleaned!C73)="not available",LOWER(Cleaned!C73)="not found"),"Not Available",HYPERLINK(Cleaned!C73,"Instagram"))</f>
        <v>Instagram</v>
      </c>
      <c r="F73" s="23" t="str">
        <f>IF(OR(Cleaned!D73="",LOWER(Cleaned!D73)="not available",LOWER(Cleaned!D73)="not found"),"Not Available",HYPERLINK(Cleaned!D73,"Maps"))</f>
        <v>Maps</v>
      </c>
      <c r="G73" s="25" t="s">
        <v>757</v>
      </c>
      <c r="H73" s="22">
        <v>4.7</v>
      </c>
      <c r="I73" s="22">
        <v>421.0</v>
      </c>
      <c r="J73" s="28" t="s">
        <v>758</v>
      </c>
      <c r="K73" s="27" t="s">
        <v>42</v>
      </c>
      <c r="L73" s="22" t="s">
        <v>118</v>
      </c>
      <c r="M73" s="22" t="s">
        <v>119</v>
      </c>
    </row>
    <row r="74">
      <c r="A74" s="21">
        <v>73.0</v>
      </c>
      <c r="B74" s="22" t="s">
        <v>293</v>
      </c>
      <c r="C74" s="22" t="s">
        <v>278</v>
      </c>
      <c r="D74" s="23" t="str">
        <f>IF(OR(Cleaned!A74="",LOWER(Cleaned!A74)="not available",LOWER(Cleaned!A74)="not found"),"Not Available",HYPERLINK(Cleaned!A74,"Website"))</f>
        <v>Website</v>
      </c>
      <c r="E74" s="23" t="str">
        <f>IF(OR(Cleaned!C74="",LOWER(Cleaned!C74)="not available",LOWER(Cleaned!C74)="not found"),"Not Available",HYPERLINK(Cleaned!C74,"Instagram"))</f>
        <v>Instagram</v>
      </c>
      <c r="F74" s="23" t="str">
        <f>IF(OR(Cleaned!D74="",LOWER(Cleaned!D74)="not available",LOWER(Cleaned!D74)="not found"),"Not Available",HYPERLINK(Cleaned!D74,"Maps"))</f>
        <v>Maps</v>
      </c>
      <c r="G74" s="25" t="s">
        <v>294</v>
      </c>
      <c r="H74" s="22">
        <v>4.5</v>
      </c>
      <c r="I74" s="22">
        <v>1794.0</v>
      </c>
      <c r="J74" s="28" t="s">
        <v>295</v>
      </c>
      <c r="K74" s="22" t="s">
        <v>274</v>
      </c>
      <c r="L74" s="22" t="s">
        <v>118</v>
      </c>
      <c r="M74" s="22" t="s">
        <v>119</v>
      </c>
    </row>
    <row r="75">
      <c r="A75" s="21">
        <v>74.0</v>
      </c>
      <c r="B75" s="22" t="s">
        <v>49</v>
      </c>
      <c r="C75" s="22" t="s">
        <v>51</v>
      </c>
      <c r="D75" s="24" t="str">
        <f>IF(OR(Cleaned!A75="",LOWER(Cleaned!A75)="not available",LOWER(Cleaned!A75)="not found"),"Not Available",HYPERLINK(Cleaned!A75,"Website"))</f>
        <v>Not Available</v>
      </c>
      <c r="E75" s="24" t="str">
        <f>IF(OR(Cleaned!C75="",LOWER(Cleaned!C75)="not available",LOWER(Cleaned!C75)="not found"),"Not Available",HYPERLINK(Cleaned!C75,"Instagram"))</f>
        <v>Not Available</v>
      </c>
      <c r="F75" s="23" t="str">
        <f>IF(OR(Cleaned!D75="",LOWER(Cleaned!D75)="not available",LOWER(Cleaned!D75)="not found"),"Not Available",HYPERLINK(Cleaned!D75,"Maps"))</f>
        <v>Maps</v>
      </c>
      <c r="G75" s="25" t="s">
        <v>53</v>
      </c>
      <c r="H75" s="22">
        <v>5.0</v>
      </c>
      <c r="I75" s="22">
        <v>9.0</v>
      </c>
      <c r="J75" s="28" t="s">
        <v>58</v>
      </c>
      <c r="K75" s="27" t="s">
        <v>42</v>
      </c>
      <c r="L75" s="22" t="s">
        <v>148</v>
      </c>
      <c r="M75" s="22" t="s">
        <v>149</v>
      </c>
    </row>
    <row r="76">
      <c r="A76" s="21">
        <v>75.0</v>
      </c>
      <c r="B76" s="22" t="s">
        <v>72</v>
      </c>
      <c r="C76" s="22" t="s">
        <v>74</v>
      </c>
      <c r="D76" s="24" t="str">
        <f>IF(OR(Cleaned!A76="",LOWER(Cleaned!A76)="not available",LOWER(Cleaned!A76)="not found"),"Not Available",HYPERLINK(Cleaned!A76,"Website"))</f>
        <v>Not Available</v>
      </c>
      <c r="E76" s="24" t="str">
        <f>IF(OR(Cleaned!C76="",LOWER(Cleaned!C76)="not available",LOWER(Cleaned!C76)="not found"),"Not Available",HYPERLINK(Cleaned!C76,"Instagram"))</f>
        <v>Not Available</v>
      </c>
      <c r="F76" s="23" t="str">
        <f>IF(OR(Cleaned!D76="",LOWER(Cleaned!D76)="not available",LOWER(Cleaned!D76)="not found"),"Not Available",HYPERLINK(Cleaned!D76,"Maps"))</f>
        <v>Maps</v>
      </c>
      <c r="G76" s="25" t="s">
        <v>76</v>
      </c>
      <c r="H76" s="22">
        <v>5.0</v>
      </c>
      <c r="I76" s="22">
        <v>71.0</v>
      </c>
      <c r="J76" s="28" t="s">
        <v>78</v>
      </c>
      <c r="K76" s="27" t="s">
        <v>42</v>
      </c>
      <c r="L76" s="22" t="s">
        <v>148</v>
      </c>
      <c r="M76" s="22" t="s">
        <v>149</v>
      </c>
    </row>
    <row r="77">
      <c r="A77" s="21">
        <v>76.0</v>
      </c>
      <c r="B77" s="22" t="s">
        <v>241</v>
      </c>
      <c r="C77" s="22" t="s">
        <v>51</v>
      </c>
      <c r="D77" s="24" t="str">
        <f>IF(OR(Cleaned!A77="",LOWER(Cleaned!A77)="not available",LOWER(Cleaned!A77)="not found"),"Not Available",HYPERLINK(Cleaned!A77,"Website"))</f>
        <v>Not Available</v>
      </c>
      <c r="E77" s="24" t="str">
        <f>IF(OR(Cleaned!C77="",LOWER(Cleaned!C77)="not available",LOWER(Cleaned!C77)="not found"),"Not Available",HYPERLINK(Cleaned!C77,"Instagram"))</f>
        <v>Not Available</v>
      </c>
      <c r="F77" s="23" t="str">
        <f>IF(OR(Cleaned!D77="",LOWER(Cleaned!D77)="not available",LOWER(Cleaned!D77)="not found"),"Not Available",HYPERLINK(Cleaned!D77,"Maps"))</f>
        <v>Maps</v>
      </c>
      <c r="G77" s="25" t="s">
        <v>242</v>
      </c>
      <c r="H77" s="22">
        <v>4.4</v>
      </c>
      <c r="I77" s="22">
        <v>15.0</v>
      </c>
      <c r="J77" s="28" t="s">
        <v>244</v>
      </c>
      <c r="K77" s="22" t="s">
        <v>217</v>
      </c>
      <c r="L77" s="22" t="s">
        <v>148</v>
      </c>
      <c r="M77" s="22" t="s">
        <v>149</v>
      </c>
    </row>
    <row r="78">
      <c r="A78" s="21">
        <v>77.0</v>
      </c>
      <c r="B78" s="22" t="s">
        <v>519</v>
      </c>
      <c r="C78" s="22" t="s">
        <v>520</v>
      </c>
      <c r="D78" s="23" t="str">
        <f>IF(OR(Cleaned!A78="",LOWER(Cleaned!A78)="not available",LOWER(Cleaned!A78)="not found"),"Not Available",HYPERLINK(Cleaned!A78,"Website"))</f>
        <v>Website</v>
      </c>
      <c r="E78" s="23" t="str">
        <f>IF(OR(Cleaned!C78="",LOWER(Cleaned!C78)="not available",LOWER(Cleaned!C78)="not found"),"Not Available",HYPERLINK(Cleaned!C78,"Instagram"))</f>
        <v>Instagram</v>
      </c>
      <c r="F78" s="23" t="str">
        <f>IF(OR(Cleaned!D78="",LOWER(Cleaned!D78)="not available",LOWER(Cleaned!D78)="not found"),"Not Available",HYPERLINK(Cleaned!D78,"Maps"))</f>
        <v>Maps</v>
      </c>
      <c r="G78" s="25" t="s">
        <v>524</v>
      </c>
      <c r="H78" s="22">
        <v>5.0</v>
      </c>
      <c r="I78" s="22">
        <v>1074.0</v>
      </c>
      <c r="J78" s="28" t="s">
        <v>525</v>
      </c>
      <c r="K78" s="22" t="s">
        <v>833</v>
      </c>
      <c r="L78" s="22" t="s">
        <v>118</v>
      </c>
      <c r="M78" s="22" t="s">
        <v>119</v>
      </c>
    </row>
    <row r="79">
      <c r="A79" s="21">
        <v>78.0</v>
      </c>
      <c r="B79" s="22" t="s">
        <v>249</v>
      </c>
      <c r="C79" s="22" t="s">
        <v>51</v>
      </c>
      <c r="D79" s="23" t="str">
        <f>IF(OR(Cleaned!A79="",LOWER(Cleaned!A79)="not available",LOWER(Cleaned!A79)="not found"),"Not Available",HYPERLINK(Cleaned!A79,"Website"))</f>
        <v>Website</v>
      </c>
      <c r="E79" s="23" t="str">
        <f>IF(OR(Cleaned!C79="",LOWER(Cleaned!C79)="not available",LOWER(Cleaned!C79)="not found"),"Not Available",HYPERLINK(Cleaned!C79,"Instagram"))</f>
        <v>Instagram</v>
      </c>
      <c r="F79" s="23" t="str">
        <f>IF(OR(Cleaned!D79="",LOWER(Cleaned!D79)="not available",LOWER(Cleaned!D79)="not found"),"Not Available",HYPERLINK(Cleaned!D79,"Maps"))</f>
        <v>Maps</v>
      </c>
      <c r="G79" s="25" t="s">
        <v>252</v>
      </c>
      <c r="H79" s="22">
        <v>4.9</v>
      </c>
      <c r="I79" s="22">
        <v>537.0</v>
      </c>
      <c r="J79" s="28" t="s">
        <v>253</v>
      </c>
      <c r="K79" s="22" t="s">
        <v>841</v>
      </c>
      <c r="L79" s="22" t="s">
        <v>118</v>
      </c>
      <c r="M79" s="22" t="s">
        <v>119</v>
      </c>
    </row>
    <row r="80">
      <c r="A80" s="21">
        <v>79.0</v>
      </c>
      <c r="B80" s="22" t="s">
        <v>101</v>
      </c>
      <c r="C80" s="22" t="s">
        <v>51</v>
      </c>
      <c r="D80" s="24" t="str">
        <f>IF(OR(Cleaned!A80="",LOWER(Cleaned!A80)="not available",LOWER(Cleaned!A80)="not found"),"Not Available",HYPERLINK(Cleaned!A80,"Website"))</f>
        <v>Not Available</v>
      </c>
      <c r="E80" s="24" t="str">
        <f>IF(OR(Cleaned!C80="",LOWER(Cleaned!C80)="not available",LOWER(Cleaned!C80)="not found"),"Not Available",HYPERLINK(Cleaned!C80,"Instagram"))</f>
        <v>Not Available</v>
      </c>
      <c r="F80" s="23" t="str">
        <f>IF(OR(Cleaned!D80="",LOWER(Cleaned!D80)="not available",LOWER(Cleaned!D80)="not found"),"Not Available",HYPERLINK(Cleaned!D80,"Maps"))</f>
        <v>Maps</v>
      </c>
      <c r="G80" s="25" t="s">
        <v>103</v>
      </c>
      <c r="H80" s="22">
        <v>5.0</v>
      </c>
      <c r="I80" s="22">
        <v>29.0</v>
      </c>
      <c r="J80" s="28" t="s">
        <v>106</v>
      </c>
      <c r="K80" s="22" t="s">
        <v>79</v>
      </c>
      <c r="L80" s="22" t="s">
        <v>148</v>
      </c>
      <c r="M80" s="22" t="s">
        <v>149</v>
      </c>
    </row>
    <row r="81">
      <c r="A81" s="21">
        <v>80.0</v>
      </c>
      <c r="B81" s="22" t="s">
        <v>781</v>
      </c>
      <c r="C81" s="22" t="s">
        <v>51</v>
      </c>
      <c r="D81" s="24" t="str">
        <f>IF(OR(Cleaned!A81="",LOWER(Cleaned!A81)="not available",LOWER(Cleaned!A81)="not found"),"Not Available",HYPERLINK(Cleaned!A81,"Website"))</f>
        <v>Not Available</v>
      </c>
      <c r="E81" s="24" t="str">
        <f>IF(OR(Cleaned!C81="",LOWER(Cleaned!C81)="not available",LOWER(Cleaned!C81)="not found"),"Not Available",HYPERLINK(Cleaned!C81,"Instagram"))</f>
        <v>Not Available</v>
      </c>
      <c r="F81" s="23" t="str">
        <f>IF(OR(Cleaned!D81="",LOWER(Cleaned!D81)="not available",LOWER(Cleaned!D81)="not found"),"Not Available",HYPERLINK(Cleaned!D81,"Maps"))</f>
        <v>Maps</v>
      </c>
      <c r="G81" s="25" t="s">
        <v>788</v>
      </c>
      <c r="H81" s="22">
        <v>4.9</v>
      </c>
      <c r="I81" s="22">
        <v>64.0</v>
      </c>
      <c r="J81" s="28" t="s">
        <v>789</v>
      </c>
      <c r="K81" s="22" t="s">
        <v>790</v>
      </c>
      <c r="L81" s="22" t="s">
        <v>148</v>
      </c>
      <c r="M81" s="22" t="s">
        <v>149</v>
      </c>
    </row>
    <row r="82">
      <c r="A82" s="21">
        <v>81.0</v>
      </c>
      <c r="B82" s="22" t="s">
        <v>687</v>
      </c>
      <c r="C82" s="22" t="s">
        <v>86</v>
      </c>
      <c r="D82" s="23" t="str">
        <f>IF(OR(Cleaned!A82="",LOWER(Cleaned!A82)="not available",LOWER(Cleaned!A82)="not found"),"Not Available",HYPERLINK(Cleaned!A82,"Website"))</f>
        <v>Website</v>
      </c>
      <c r="E82" s="23" t="str">
        <f>IF(OR(Cleaned!C82="",LOWER(Cleaned!C82)="not available",LOWER(Cleaned!C82)="not found"),"Not Available",HYPERLINK(Cleaned!C82,"Instagram"))</f>
        <v>Instagram</v>
      </c>
      <c r="F82" s="23" t="str">
        <f>IF(OR(Cleaned!D82="",LOWER(Cleaned!D82)="not available",LOWER(Cleaned!D82)="not found"),"Not Available",HYPERLINK(Cleaned!D82,"Maps"))</f>
        <v>Maps</v>
      </c>
      <c r="G82" s="25" t="s">
        <v>52</v>
      </c>
      <c r="H82" s="22">
        <v>4.6</v>
      </c>
      <c r="I82" s="22">
        <v>9100.0</v>
      </c>
      <c r="J82" s="28" t="s">
        <v>691</v>
      </c>
      <c r="K82" s="22" t="s">
        <v>662</v>
      </c>
      <c r="L82" s="22" t="s">
        <v>118</v>
      </c>
      <c r="M82" s="22" t="s">
        <v>119</v>
      </c>
    </row>
    <row r="83">
      <c r="A83" s="21">
        <v>82.0</v>
      </c>
      <c r="B83" s="22" t="s">
        <v>158</v>
      </c>
      <c r="C83" s="22" t="s">
        <v>86</v>
      </c>
      <c r="D83" s="23" t="str">
        <f>IF(OR(Cleaned!A83="",LOWER(Cleaned!A83)="not available",LOWER(Cleaned!A83)="not found"),"Not Available",HYPERLINK(Cleaned!A83,"Website"))</f>
        <v>Website</v>
      </c>
      <c r="E83" s="24" t="str">
        <f>IF(OR(Cleaned!C83="",LOWER(Cleaned!C83)="not available",LOWER(Cleaned!C83)="not found"),"Not Available",HYPERLINK(Cleaned!C83,"Instagram"))</f>
        <v>Not Available</v>
      </c>
      <c r="F83" s="23" t="str">
        <f>IF(OR(Cleaned!D83="",LOWER(Cleaned!D83)="not available",LOWER(Cleaned!D83)="not found"),"Not Available",HYPERLINK(Cleaned!D83,"Maps"))</f>
        <v>Maps</v>
      </c>
      <c r="G83" s="25" t="s">
        <v>159</v>
      </c>
      <c r="H83" s="22">
        <v>4.8</v>
      </c>
      <c r="I83" s="22">
        <v>4169.0</v>
      </c>
      <c r="J83" s="28" t="s">
        <v>161</v>
      </c>
      <c r="K83" s="22" t="s">
        <v>139</v>
      </c>
      <c r="L83" s="22" t="s">
        <v>98</v>
      </c>
      <c r="M83" s="22" t="s">
        <v>100</v>
      </c>
    </row>
    <row r="84">
      <c r="A84" s="21">
        <v>83.0</v>
      </c>
      <c r="B84" s="22" t="s">
        <v>793</v>
      </c>
      <c r="C84" s="22" t="s">
        <v>298</v>
      </c>
      <c r="D84" s="23" t="str">
        <f>IF(OR(Cleaned!A84="",LOWER(Cleaned!A84)="not available",LOWER(Cleaned!A84)="not found"),"Not Available",HYPERLINK(Cleaned!A84,"Website"))</f>
        <v>Website</v>
      </c>
      <c r="E84" s="24" t="str">
        <f>IF(OR(Cleaned!C84="",LOWER(Cleaned!C84)="not available",LOWER(Cleaned!C84)="not found"),"Not Available",HYPERLINK(Cleaned!C84,"Instagram"))</f>
        <v>Not Available</v>
      </c>
      <c r="F84" s="23" t="str">
        <f>IF(OR(Cleaned!D84="",LOWER(Cleaned!D84)="not available",LOWER(Cleaned!D84)="not found"),"Not Available",HYPERLINK(Cleaned!D84,"Maps"))</f>
        <v>Maps</v>
      </c>
      <c r="G84" s="25" t="s">
        <v>796</v>
      </c>
      <c r="H84" s="22">
        <v>4.8</v>
      </c>
      <c r="I84" s="22">
        <v>1118.0</v>
      </c>
      <c r="J84" s="28" t="s">
        <v>797</v>
      </c>
      <c r="K84" s="22" t="s">
        <v>798</v>
      </c>
      <c r="L84" s="22" t="s">
        <v>98</v>
      </c>
      <c r="M84" s="22" t="s">
        <v>100</v>
      </c>
    </row>
    <row r="85">
      <c r="A85" s="21">
        <v>84.0</v>
      </c>
      <c r="B85" s="22" t="s">
        <v>801</v>
      </c>
      <c r="C85" s="22" t="s">
        <v>278</v>
      </c>
      <c r="D85" s="23" t="str">
        <f>IF(OR(Cleaned!A85="",LOWER(Cleaned!A85)="not available",LOWER(Cleaned!A85)="not found"),"Not Available",HYPERLINK(Cleaned!A85,"Website"))</f>
        <v>Website</v>
      </c>
      <c r="E85" s="24" t="str">
        <f>IF(OR(Cleaned!C85="",LOWER(Cleaned!C85)="not available",LOWER(Cleaned!C85)="not found"),"Not Available",HYPERLINK(Cleaned!C85,"Instagram"))</f>
        <v>Not Available</v>
      </c>
      <c r="F85" s="23" t="str">
        <f>IF(OR(Cleaned!D85="",LOWER(Cleaned!D85)="not available",LOWER(Cleaned!D85)="not found"),"Not Available",HYPERLINK(Cleaned!D85,"Maps"))</f>
        <v>Maps</v>
      </c>
      <c r="G85" s="25" t="s">
        <v>804</v>
      </c>
      <c r="H85" s="22">
        <v>4.4</v>
      </c>
      <c r="I85" s="22">
        <v>3488.0</v>
      </c>
      <c r="J85" s="28" t="s">
        <v>805</v>
      </c>
      <c r="K85" s="22" t="s">
        <v>806</v>
      </c>
      <c r="L85" s="22" t="s">
        <v>98</v>
      </c>
      <c r="M85" s="22" t="s">
        <v>100</v>
      </c>
    </row>
    <row r="86">
      <c r="A86" s="21">
        <v>85.0</v>
      </c>
      <c r="B86" s="22" t="s">
        <v>808</v>
      </c>
      <c r="C86" s="22" t="s">
        <v>298</v>
      </c>
      <c r="D86" s="23" t="str">
        <f>IF(OR(Cleaned!A86="",LOWER(Cleaned!A86)="not available",LOWER(Cleaned!A86)="not found"),"Not Available",HYPERLINK(Cleaned!A86,"Website"))</f>
        <v>Website</v>
      </c>
      <c r="E86" s="23" t="str">
        <f>IF(OR(Cleaned!C86="",LOWER(Cleaned!C86)="not available",LOWER(Cleaned!C86)="not found"),"Not Available",HYPERLINK(Cleaned!C86,"Instagram"))</f>
        <v>Instagram</v>
      </c>
      <c r="F86" s="23" t="str">
        <f>IF(OR(Cleaned!D86="",LOWER(Cleaned!D86)="not available",LOWER(Cleaned!D86)="not found"),"Not Available",HYPERLINK(Cleaned!D86,"Maps"))</f>
        <v>Maps</v>
      </c>
      <c r="G86" s="25" t="s">
        <v>808</v>
      </c>
      <c r="H86" s="22">
        <v>4.7</v>
      </c>
      <c r="I86" s="22">
        <v>5380.0</v>
      </c>
      <c r="J86" s="28" t="s">
        <v>813</v>
      </c>
      <c r="K86" s="22" t="s">
        <v>852</v>
      </c>
      <c r="L86" s="22" t="s">
        <v>118</v>
      </c>
      <c r="M86" s="22" t="s">
        <v>119</v>
      </c>
    </row>
    <row r="87">
      <c r="A87" s="21">
        <v>86.0</v>
      </c>
      <c r="B87" s="22" t="s">
        <v>816</v>
      </c>
      <c r="C87" s="22" t="s">
        <v>86</v>
      </c>
      <c r="D87" s="23" t="str">
        <f>IF(OR(Cleaned!A87="",LOWER(Cleaned!A87)="not available",LOWER(Cleaned!A87)="not found"),"Not Available",HYPERLINK(Cleaned!A87,"Website"))</f>
        <v>Website</v>
      </c>
      <c r="E87" s="24" t="str">
        <f>IF(OR(Cleaned!C87="",LOWER(Cleaned!C87)="not available",LOWER(Cleaned!C87)="not found"),"Not Available",HYPERLINK(Cleaned!C87,"Instagram"))</f>
        <v>Not Available</v>
      </c>
      <c r="F87" s="23" t="str">
        <f>IF(OR(Cleaned!D87="",LOWER(Cleaned!D87)="not available",LOWER(Cleaned!D87)="not found"),"Not Available",HYPERLINK(Cleaned!D87,"Maps"))</f>
        <v>Maps</v>
      </c>
      <c r="G87" s="25" t="s">
        <v>818</v>
      </c>
      <c r="H87" s="22">
        <v>4.3</v>
      </c>
      <c r="I87" s="22">
        <v>1293.0</v>
      </c>
      <c r="J87" s="28" t="s">
        <v>819</v>
      </c>
      <c r="K87" s="27" t="s">
        <v>42</v>
      </c>
      <c r="L87" s="22" t="s">
        <v>98</v>
      </c>
      <c r="M87" s="22" t="s">
        <v>100</v>
      </c>
    </row>
    <row r="88">
      <c r="A88" s="21">
        <v>87.0</v>
      </c>
      <c r="B88" s="22" t="s">
        <v>820</v>
      </c>
      <c r="C88" s="22" t="s">
        <v>51</v>
      </c>
      <c r="D88" s="24" t="str">
        <f>IF(OR(Cleaned!A88="",LOWER(Cleaned!A88)="not available",LOWER(Cleaned!A88)="not found"),"Not Available",HYPERLINK(Cleaned!A88,"Website"))</f>
        <v>Not Available</v>
      </c>
      <c r="E88" s="24" t="str">
        <f>IF(OR(Cleaned!C88="",LOWER(Cleaned!C88)="not available",LOWER(Cleaned!C88)="not found"),"Not Available",HYPERLINK(Cleaned!C88,"Instagram"))</f>
        <v>Not Available</v>
      </c>
      <c r="F88" s="23" t="str">
        <f>IF(OR(Cleaned!D88="",LOWER(Cleaned!D88)="not available",LOWER(Cleaned!D88)="not found"),"Not Available",HYPERLINK(Cleaned!D88,"Maps"))</f>
        <v>Maps</v>
      </c>
      <c r="G88" s="25" t="s">
        <v>822</v>
      </c>
      <c r="H88" s="22">
        <v>4.9</v>
      </c>
      <c r="I88" s="22">
        <v>35.0</v>
      </c>
      <c r="J88" s="26" t="s">
        <v>42</v>
      </c>
      <c r="K88" s="27" t="s">
        <v>42</v>
      </c>
      <c r="L88" s="22" t="s">
        <v>148</v>
      </c>
      <c r="M88" s="22" t="s">
        <v>149</v>
      </c>
    </row>
    <row r="89">
      <c r="A89" s="21">
        <v>88.0</v>
      </c>
      <c r="B89" s="22" t="s">
        <v>782</v>
      </c>
      <c r="C89" s="22" t="s">
        <v>115</v>
      </c>
      <c r="D89" s="23" t="str">
        <f>IF(OR(Cleaned!A89="",LOWER(Cleaned!A89)="not available",LOWER(Cleaned!A89)="not found"),"Not Available",HYPERLINK(Cleaned!A89,"Website"))</f>
        <v>Website</v>
      </c>
      <c r="E89" s="24" t="str">
        <f>IF(OR(Cleaned!C89="",LOWER(Cleaned!C89)="not available",LOWER(Cleaned!C89)="not found"),"Not Available",HYPERLINK(Cleaned!C89,"Instagram"))</f>
        <v>Not Available</v>
      </c>
      <c r="F89" s="23" t="str">
        <f>IF(OR(Cleaned!D89="",LOWER(Cleaned!D89)="not available",LOWER(Cleaned!D89)="not found"),"Not Available",HYPERLINK(Cleaned!D89,"Maps"))</f>
        <v>Maps</v>
      </c>
      <c r="G89" s="25" t="s">
        <v>785</v>
      </c>
      <c r="H89" s="22">
        <v>4.4</v>
      </c>
      <c r="I89" s="22">
        <v>27.0</v>
      </c>
      <c r="J89" s="28" t="s">
        <v>786</v>
      </c>
      <c r="K89" s="27" t="s">
        <v>42</v>
      </c>
      <c r="L89" s="22" t="s">
        <v>98</v>
      </c>
      <c r="M89" s="22" t="s">
        <v>100</v>
      </c>
    </row>
    <row r="90">
      <c r="A90" s="21">
        <v>89.0</v>
      </c>
      <c r="B90" s="22" t="s">
        <v>593</v>
      </c>
      <c r="C90" s="22" t="s">
        <v>192</v>
      </c>
      <c r="D90" s="23" t="str">
        <f>IF(OR(Cleaned!A90="",LOWER(Cleaned!A90)="not available",LOWER(Cleaned!A90)="not found"),"Not Available",HYPERLINK(Cleaned!A90,"Website"))</f>
        <v>Website</v>
      </c>
      <c r="E90" s="23" t="str">
        <f>IF(OR(Cleaned!C90="",LOWER(Cleaned!C90)="not available",LOWER(Cleaned!C90)="not found"),"Not Available",HYPERLINK(Cleaned!C90,"Instagram"))</f>
        <v>Instagram</v>
      </c>
      <c r="F90" s="23" t="str">
        <f>IF(OR(Cleaned!D90="",LOWER(Cleaned!D90)="not available",LOWER(Cleaned!D90)="not found"),"Not Available",HYPERLINK(Cleaned!D90,"Maps"))</f>
        <v>Maps</v>
      </c>
      <c r="G90" s="25" t="s">
        <v>595</v>
      </c>
      <c r="H90" s="22">
        <v>5.0</v>
      </c>
      <c r="I90" s="22">
        <v>190.0</v>
      </c>
      <c r="J90" s="28" t="s">
        <v>596</v>
      </c>
      <c r="K90" s="22" t="s">
        <v>565</v>
      </c>
      <c r="L90" s="22" t="s">
        <v>118</v>
      </c>
      <c r="M90" s="22" t="s">
        <v>119</v>
      </c>
    </row>
    <row r="91">
      <c r="A91" s="21">
        <v>90.0</v>
      </c>
      <c r="B91" s="22" t="s">
        <v>388</v>
      </c>
      <c r="C91" s="22" t="s">
        <v>51</v>
      </c>
      <c r="D91" s="23" t="str">
        <f>IF(OR(Cleaned!A91="",LOWER(Cleaned!A91)="not available",LOWER(Cleaned!A91)="not found"),"Not Available",HYPERLINK(Cleaned!A91,"Website"))</f>
        <v>Website</v>
      </c>
      <c r="E91" s="24" t="str">
        <f>IF(OR(Cleaned!C91="",LOWER(Cleaned!C91)="not available",LOWER(Cleaned!C91)="not found"),"Not Available",HYPERLINK(Cleaned!C91,"Instagram"))</f>
        <v>Not Available</v>
      </c>
      <c r="F91" s="23" t="str">
        <f>IF(OR(Cleaned!D91="",LOWER(Cleaned!D91)="not available",LOWER(Cleaned!D91)="not found"),"Not Available",HYPERLINK(Cleaned!D91,"Maps"))</f>
        <v>Maps</v>
      </c>
      <c r="G91" s="25" t="s">
        <v>390</v>
      </c>
      <c r="H91" s="22">
        <v>4.9</v>
      </c>
      <c r="I91" s="22">
        <v>286.0</v>
      </c>
      <c r="J91" s="28" t="s">
        <v>391</v>
      </c>
      <c r="K91" s="22" t="s">
        <v>868</v>
      </c>
      <c r="L91" s="22" t="s">
        <v>98</v>
      </c>
      <c r="M91" s="22" t="s">
        <v>100</v>
      </c>
    </row>
    <row r="92">
      <c r="A92" s="21">
        <v>91.0</v>
      </c>
      <c r="B92" s="22" t="s">
        <v>436</v>
      </c>
      <c r="C92" s="22" t="s">
        <v>51</v>
      </c>
      <c r="D92" s="24" t="str">
        <f>IF(OR(Cleaned!A92="",LOWER(Cleaned!A92)="not available",LOWER(Cleaned!A92)="not found"),"Not Available",HYPERLINK(Cleaned!A92,"Website"))</f>
        <v>Not Available</v>
      </c>
      <c r="E92" s="24" t="str">
        <f>IF(OR(Cleaned!C92="",LOWER(Cleaned!C92)="not available",LOWER(Cleaned!C92)="not found"),"Not Available",HYPERLINK(Cleaned!C92,"Instagram"))</f>
        <v>Not Available</v>
      </c>
      <c r="F92" s="23" t="str">
        <f>IF(OR(Cleaned!D92="",LOWER(Cleaned!D92)="not available",LOWER(Cleaned!D92)="not found"),"Not Available",HYPERLINK(Cleaned!D92,"Maps"))</f>
        <v>Maps</v>
      </c>
      <c r="G92" s="25" t="s">
        <v>437</v>
      </c>
      <c r="H92" s="22">
        <v>5.0</v>
      </c>
      <c r="I92" s="22">
        <v>1.0</v>
      </c>
      <c r="J92" s="28" t="s">
        <v>440</v>
      </c>
      <c r="K92" s="22" t="s">
        <v>870</v>
      </c>
      <c r="L92" s="22" t="s">
        <v>148</v>
      </c>
      <c r="M92" s="22" t="s">
        <v>149</v>
      </c>
    </row>
    <row r="93">
      <c r="A93" s="21">
        <v>92.0</v>
      </c>
      <c r="B93" s="22" t="s">
        <v>739</v>
      </c>
      <c r="C93" s="22" t="s">
        <v>740</v>
      </c>
      <c r="D93" s="23" t="str">
        <f>IF(OR(Cleaned!A93="",LOWER(Cleaned!A93)="not available",LOWER(Cleaned!A93)="not found"),"Not Available",HYPERLINK(Cleaned!A93,"Website"))</f>
        <v>Website</v>
      </c>
      <c r="E93" s="23" t="str">
        <f>IF(OR(Cleaned!C93="",LOWER(Cleaned!C93)="not available",LOWER(Cleaned!C93)="not found"),"Not Available",HYPERLINK(Cleaned!C93,"Instagram"))</f>
        <v>Instagram</v>
      </c>
      <c r="F93" s="23" t="str">
        <f>IF(OR(Cleaned!D93="",LOWER(Cleaned!D93)="not available",LOWER(Cleaned!D93)="not found"),"Not Available",HYPERLINK(Cleaned!D93,"Maps"))</f>
        <v>Maps</v>
      </c>
      <c r="G93" s="25" t="s">
        <v>741</v>
      </c>
      <c r="H93" s="22">
        <v>4.8</v>
      </c>
      <c r="I93" s="22">
        <v>459.0</v>
      </c>
      <c r="J93" s="28" t="s">
        <v>742</v>
      </c>
      <c r="K93" s="27" t="s">
        <v>42</v>
      </c>
      <c r="L93" s="22" t="s">
        <v>118</v>
      </c>
      <c r="M93" s="22" t="s">
        <v>119</v>
      </c>
    </row>
    <row r="94">
      <c r="A94" s="21">
        <v>93.0</v>
      </c>
      <c r="B94" s="22" t="s">
        <v>831</v>
      </c>
      <c r="C94" s="22" t="s">
        <v>837</v>
      </c>
      <c r="D94" s="23" t="str">
        <f>IF(OR(Cleaned!A94="",LOWER(Cleaned!A94)="not available",LOWER(Cleaned!A94)="not found"),"Not Available",HYPERLINK(Cleaned!A94,"Website"))</f>
        <v>Website</v>
      </c>
      <c r="E94" s="23" t="str">
        <f>IF(OR(Cleaned!C94="",LOWER(Cleaned!C94)="not available",LOWER(Cleaned!C94)="not found"),"Not Available",HYPERLINK(Cleaned!C94,"Instagram"))</f>
        <v>Instagram</v>
      </c>
      <c r="F94" s="23" t="str">
        <f>IF(OR(Cleaned!D94="",LOWER(Cleaned!D94)="not available",LOWER(Cleaned!D94)="not found"),"Not Available",HYPERLINK(Cleaned!D94,"Maps"))</f>
        <v>Maps</v>
      </c>
      <c r="G94" s="25" t="s">
        <v>838</v>
      </c>
      <c r="H94" s="22">
        <v>4.9</v>
      </c>
      <c r="I94" s="22">
        <v>1394.0</v>
      </c>
      <c r="J94" s="28" t="s">
        <v>839</v>
      </c>
      <c r="K94" s="22" t="s">
        <v>875</v>
      </c>
      <c r="L94" s="22" t="s">
        <v>118</v>
      </c>
      <c r="M94" s="22" t="s">
        <v>119</v>
      </c>
    </row>
    <row r="95">
      <c r="A95" s="21">
        <v>94.0</v>
      </c>
      <c r="B95" s="22" t="s">
        <v>113</v>
      </c>
      <c r="C95" s="22" t="s">
        <v>115</v>
      </c>
      <c r="D95" s="23" t="str">
        <f>IF(OR(Cleaned!A95="",LOWER(Cleaned!A95)="not available",LOWER(Cleaned!A95)="not found"),"Not Available",HYPERLINK(Cleaned!A95,"Website"))</f>
        <v>Website</v>
      </c>
      <c r="E95" s="23" t="str">
        <f>IF(OR(Cleaned!C95="",LOWER(Cleaned!C95)="not available",LOWER(Cleaned!C95)="not found"),"Not Available",HYPERLINK(Cleaned!C95,"Instagram"))</f>
        <v>Instagram</v>
      </c>
      <c r="F95" s="23" t="str">
        <f>IF(OR(Cleaned!D95="",LOWER(Cleaned!D95)="not available",LOWER(Cleaned!D95)="not found"),"Not Available",HYPERLINK(Cleaned!D95,"Maps"))</f>
        <v>Maps</v>
      </c>
      <c r="G95" s="25" t="s">
        <v>121</v>
      </c>
      <c r="H95" s="22">
        <v>4.8</v>
      </c>
      <c r="I95" s="22">
        <v>241.0</v>
      </c>
      <c r="J95" s="28" t="s">
        <v>123</v>
      </c>
      <c r="K95" s="22" t="s">
        <v>92</v>
      </c>
      <c r="L95" s="22" t="s">
        <v>118</v>
      </c>
      <c r="M95" s="22" t="s">
        <v>119</v>
      </c>
    </row>
    <row r="96">
      <c r="A96" s="21">
        <v>95.0</v>
      </c>
      <c r="B96" s="22" t="s">
        <v>351</v>
      </c>
      <c r="C96" s="22" t="s">
        <v>74</v>
      </c>
      <c r="D96" s="24" t="str">
        <f>IF(OR(Cleaned!A96="",LOWER(Cleaned!A96)="not available",LOWER(Cleaned!A96)="not found"),"Not Available",HYPERLINK(Cleaned!A96,"Website"))</f>
        <v>Not Available</v>
      </c>
      <c r="E96" s="24" t="str">
        <f>IF(OR(Cleaned!C96="",LOWER(Cleaned!C96)="not available",LOWER(Cleaned!C96)="not found"),"Not Available",HYPERLINK(Cleaned!C96,"Instagram"))</f>
        <v>Not Available</v>
      </c>
      <c r="F96" s="23" t="str">
        <f>IF(OR(Cleaned!D96="",LOWER(Cleaned!D96)="not available",LOWER(Cleaned!D96)="not found"),"Not Available",HYPERLINK(Cleaned!D96,"Maps"))</f>
        <v>Maps</v>
      </c>
      <c r="G96" s="25" t="s">
        <v>352</v>
      </c>
      <c r="H96" s="22">
        <v>4.8</v>
      </c>
      <c r="I96" s="22">
        <v>25.0</v>
      </c>
      <c r="J96" s="28" t="s">
        <v>354</v>
      </c>
      <c r="K96" s="22" t="s">
        <v>880</v>
      </c>
      <c r="L96" s="22" t="s">
        <v>148</v>
      </c>
      <c r="M96" s="22" t="s">
        <v>149</v>
      </c>
    </row>
    <row r="97">
      <c r="A97" s="21">
        <v>96.0</v>
      </c>
      <c r="B97" s="22" t="s">
        <v>425</v>
      </c>
      <c r="C97" s="22" t="s">
        <v>330</v>
      </c>
      <c r="D97" s="23" t="str">
        <f>IF(OR(Cleaned!A97="",LOWER(Cleaned!A97)="not available",LOWER(Cleaned!A97)="not found"),"Not Available",HYPERLINK(Cleaned!A97,"Website"))</f>
        <v>Website</v>
      </c>
      <c r="E97" s="23" t="str">
        <f>IF(OR(Cleaned!C97="",LOWER(Cleaned!C97)="not available",LOWER(Cleaned!C97)="not found"),"Not Available",HYPERLINK(Cleaned!C97,"Instagram"))</f>
        <v>Instagram</v>
      </c>
      <c r="F97" s="23" t="str">
        <f>IF(OR(Cleaned!D97="",LOWER(Cleaned!D97)="not available",LOWER(Cleaned!D97)="not found"),"Not Available",HYPERLINK(Cleaned!D97,"Maps"))</f>
        <v>Maps</v>
      </c>
      <c r="G97" s="25" t="s">
        <v>426</v>
      </c>
      <c r="H97" s="22">
        <v>4.9</v>
      </c>
      <c r="I97" s="22">
        <v>118.0</v>
      </c>
      <c r="J97" s="28" t="s">
        <v>427</v>
      </c>
      <c r="K97" s="22" t="s">
        <v>885</v>
      </c>
      <c r="L97" s="22" t="s">
        <v>118</v>
      </c>
      <c r="M97" s="22" t="s">
        <v>119</v>
      </c>
    </row>
    <row r="98">
      <c r="A98" s="21">
        <v>97.0</v>
      </c>
      <c r="B98" s="22" t="s">
        <v>569</v>
      </c>
      <c r="C98" s="22" t="s">
        <v>322</v>
      </c>
      <c r="D98" s="23" t="str">
        <f>IF(OR(Cleaned!A98="",LOWER(Cleaned!A98)="not available",LOWER(Cleaned!A98)="not found"),"Not Available",HYPERLINK(Cleaned!A98,"Website"))</f>
        <v>Website</v>
      </c>
      <c r="E98" s="23" t="str">
        <f>IF(OR(Cleaned!C98="",LOWER(Cleaned!C98)="not available",LOWER(Cleaned!C98)="not found"),"Not Available",HYPERLINK(Cleaned!C98,"Instagram"))</f>
        <v>Instagram</v>
      </c>
      <c r="F98" s="23" t="str">
        <f>IF(OR(Cleaned!D98="",LOWER(Cleaned!D98)="not available",LOWER(Cleaned!D98)="not found"),"Not Available",HYPERLINK(Cleaned!D98,"Maps"))</f>
        <v>Maps</v>
      </c>
      <c r="G98" s="25" t="s">
        <v>570</v>
      </c>
      <c r="H98" s="22">
        <v>4.7</v>
      </c>
      <c r="I98" s="22">
        <v>409.0</v>
      </c>
      <c r="J98" s="28" t="s">
        <v>571</v>
      </c>
      <c r="K98" s="22" t="s">
        <v>527</v>
      </c>
      <c r="L98" s="22" t="s">
        <v>118</v>
      </c>
      <c r="M98" s="22" t="s">
        <v>119</v>
      </c>
    </row>
    <row r="99">
      <c r="A99" s="21">
        <v>98.0</v>
      </c>
      <c r="B99" s="22" t="s">
        <v>414</v>
      </c>
      <c r="C99" s="22" t="s">
        <v>192</v>
      </c>
      <c r="D99" s="23" t="str">
        <f>IF(OR(Cleaned!A99="",LOWER(Cleaned!A99)="not available",LOWER(Cleaned!A99)="not found"),"Not Available",HYPERLINK(Cleaned!A99,"Website"))</f>
        <v>Website</v>
      </c>
      <c r="E99" s="23" t="str">
        <f>IF(OR(Cleaned!C99="",LOWER(Cleaned!C99)="not available",LOWER(Cleaned!C99)="not found"),"Not Available",HYPERLINK(Cleaned!C99,"Instagram"))</f>
        <v>Instagram</v>
      </c>
      <c r="F99" s="23" t="str">
        <f>IF(OR(Cleaned!D99="",LOWER(Cleaned!D99)="not available",LOWER(Cleaned!D99)="not found"),"Not Available",HYPERLINK(Cleaned!D99,"Maps"))</f>
        <v>Maps</v>
      </c>
      <c r="G99" s="25" t="s">
        <v>415</v>
      </c>
      <c r="H99" s="22">
        <v>5.0</v>
      </c>
      <c r="I99" s="22">
        <v>54.0</v>
      </c>
      <c r="J99" s="28" t="s">
        <v>416</v>
      </c>
      <c r="K99" s="22" t="s">
        <v>392</v>
      </c>
      <c r="L99" s="22" t="s">
        <v>118</v>
      </c>
      <c r="M99" s="22" t="s">
        <v>119</v>
      </c>
    </row>
    <row r="100">
      <c r="A100" s="21">
        <v>99.0</v>
      </c>
      <c r="B100" s="22" t="s">
        <v>825</v>
      </c>
      <c r="C100" s="22" t="s">
        <v>102</v>
      </c>
      <c r="D100" s="23" t="str">
        <f>IF(OR(Cleaned!A100="",LOWER(Cleaned!A100)="not available",LOWER(Cleaned!A100)="not found"),"Not Available",HYPERLINK(Cleaned!A100,"Website"))</f>
        <v>Website</v>
      </c>
      <c r="E100" s="23" t="str">
        <f>IF(OR(Cleaned!C100="",LOWER(Cleaned!C100)="not available",LOWER(Cleaned!C100)="not found"),"Not Available",HYPERLINK(Cleaned!C100,"Instagram"))</f>
        <v>Instagram</v>
      </c>
      <c r="F100" s="23" t="str">
        <f>IF(OR(Cleaned!D100="",LOWER(Cleaned!D100)="not available",LOWER(Cleaned!D100)="not found"),"Not Available",HYPERLINK(Cleaned!D100,"Maps"))</f>
        <v>Maps</v>
      </c>
      <c r="G100" s="25" t="s">
        <v>826</v>
      </c>
      <c r="H100" s="22">
        <v>4.8</v>
      </c>
      <c r="I100" s="22">
        <v>2651.0</v>
      </c>
      <c r="J100" s="28" t="s">
        <v>827</v>
      </c>
      <c r="K100" s="22" t="s">
        <v>504</v>
      </c>
      <c r="L100" s="22" t="s">
        <v>118</v>
      </c>
      <c r="M100" s="22" t="s">
        <v>119</v>
      </c>
    </row>
    <row r="101">
      <c r="A101" s="21">
        <v>100.0</v>
      </c>
      <c r="B101" s="22" t="s">
        <v>483</v>
      </c>
      <c r="C101" s="22" t="s">
        <v>102</v>
      </c>
      <c r="D101" s="24" t="str">
        <f>IF(OR(Cleaned!A101="",LOWER(Cleaned!A101)="not available",LOWER(Cleaned!A101)="not found"),"Not Available",HYPERLINK(Cleaned!A101,"Website"))</f>
        <v>Not Available</v>
      </c>
      <c r="E101" s="24" t="str">
        <f>IF(OR(Cleaned!C101="",LOWER(Cleaned!C101)="not available",LOWER(Cleaned!C101)="not found"),"Not Available",HYPERLINK(Cleaned!C101,"Instagram"))</f>
        <v>Not Available</v>
      </c>
      <c r="F101" s="23" t="str">
        <f>IF(OR(Cleaned!D101="",LOWER(Cleaned!D101)="not available",LOWER(Cleaned!D101)="not found"),"Not Available",HYPERLINK(Cleaned!D101,"Maps"))</f>
        <v>Maps</v>
      </c>
      <c r="G101" s="25" t="s">
        <v>484</v>
      </c>
      <c r="H101" s="22">
        <v>5.0</v>
      </c>
      <c r="I101" s="22">
        <v>11.0</v>
      </c>
      <c r="J101" s="28" t="s">
        <v>487</v>
      </c>
      <c r="K101" s="22" t="s">
        <v>891</v>
      </c>
      <c r="L101" s="22" t="s">
        <v>148</v>
      </c>
      <c r="M101" s="22" t="s">
        <v>149</v>
      </c>
    </row>
    <row r="102">
      <c r="A102" s="21">
        <v>101.0</v>
      </c>
      <c r="B102" s="22" t="s">
        <v>746</v>
      </c>
      <c r="C102" s="22" t="s">
        <v>747</v>
      </c>
      <c r="D102" s="23" t="str">
        <f>IF(OR(Cleaned!A102="",LOWER(Cleaned!A102)="not available",LOWER(Cleaned!A102)="not found"),"Not Available",HYPERLINK(Cleaned!A102,"Website"))</f>
        <v>Website</v>
      </c>
      <c r="E102" s="24" t="str">
        <f>IF(OR(Cleaned!C102="",LOWER(Cleaned!C102)="not available",LOWER(Cleaned!C102)="not found"),"Not Available",HYPERLINK(Cleaned!C102,"Instagram"))</f>
        <v>Not Available</v>
      </c>
      <c r="F102" s="23" t="str">
        <f>IF(OR(Cleaned!D102="",LOWER(Cleaned!D102)="not available",LOWER(Cleaned!D102)="not found"),"Not Available",HYPERLINK(Cleaned!D102,"Maps"))</f>
        <v>Maps</v>
      </c>
      <c r="G102" s="25" t="s">
        <v>748</v>
      </c>
      <c r="H102" s="22">
        <v>4.9</v>
      </c>
      <c r="I102" s="22">
        <v>154.0</v>
      </c>
      <c r="J102" s="28" t="s">
        <v>749</v>
      </c>
      <c r="K102" s="27" t="s">
        <v>42</v>
      </c>
      <c r="L102" s="22" t="s">
        <v>98</v>
      </c>
      <c r="M102" s="22" t="s">
        <v>100</v>
      </c>
    </row>
    <row r="103">
      <c r="A103" s="21">
        <v>102.0</v>
      </c>
      <c r="B103" s="22" t="s">
        <v>135</v>
      </c>
      <c r="C103" s="22" t="s">
        <v>136</v>
      </c>
      <c r="D103" s="24" t="str">
        <f>IF(OR(Cleaned!A103="",LOWER(Cleaned!A103)="not available",LOWER(Cleaned!A103)="not found"),"Not Available",HYPERLINK(Cleaned!A103,"Website"))</f>
        <v>Not Available</v>
      </c>
      <c r="E103" s="24" t="str">
        <f>IF(OR(Cleaned!C103="",LOWER(Cleaned!C103)="not available",LOWER(Cleaned!C103)="not found"),"Not Available",HYPERLINK(Cleaned!C103,"Instagram"))</f>
        <v>Not Available</v>
      </c>
      <c r="F103" s="23" t="str">
        <f>IF(OR(Cleaned!D103="",LOWER(Cleaned!D103)="not available",LOWER(Cleaned!D103)="not found"),"Not Available",HYPERLINK(Cleaned!D103,"Maps"))</f>
        <v>Maps</v>
      </c>
      <c r="G103" s="25" t="s">
        <v>137</v>
      </c>
      <c r="H103" s="22">
        <v>5.0</v>
      </c>
      <c r="I103" s="22">
        <v>20.0</v>
      </c>
      <c r="J103" s="28" t="s">
        <v>138</v>
      </c>
      <c r="K103" s="22" t="s">
        <v>108</v>
      </c>
      <c r="L103" s="22" t="s">
        <v>148</v>
      </c>
      <c r="M103" s="22" t="s">
        <v>149</v>
      </c>
    </row>
    <row r="104">
      <c r="A104" s="21">
        <v>103.0</v>
      </c>
      <c r="B104" s="22" t="s">
        <v>451</v>
      </c>
      <c r="C104" s="22" t="s">
        <v>51</v>
      </c>
      <c r="D104" s="24" t="str">
        <f>IF(OR(Cleaned!A104="",LOWER(Cleaned!A104)="not available",LOWER(Cleaned!A104)="not found"),"Not Available",HYPERLINK(Cleaned!A104,"Website"))</f>
        <v>Not Available</v>
      </c>
      <c r="E104" s="24" t="str">
        <f>IF(OR(Cleaned!C104="",LOWER(Cleaned!C104)="not available",LOWER(Cleaned!C104)="not found"),"Not Available",HYPERLINK(Cleaned!C104,"Instagram"))</f>
        <v>Not Available</v>
      </c>
      <c r="F104" s="23" t="str">
        <f>IF(OR(Cleaned!D104="",LOWER(Cleaned!D104)="not available",LOWER(Cleaned!D104)="not found"),"Not Available",HYPERLINK(Cleaned!D104,"Maps"))</f>
        <v>Maps</v>
      </c>
      <c r="G104" s="25" t="s">
        <v>452</v>
      </c>
      <c r="H104" s="22">
        <v>5.0</v>
      </c>
      <c r="I104" s="22">
        <v>26.0</v>
      </c>
      <c r="J104" s="28" t="s">
        <v>453</v>
      </c>
      <c r="K104" s="22" t="s">
        <v>902</v>
      </c>
      <c r="L104" s="22" t="s">
        <v>148</v>
      </c>
      <c r="M104" s="22" t="s">
        <v>149</v>
      </c>
    </row>
    <row r="105">
      <c r="A105" s="21">
        <v>104.0</v>
      </c>
      <c r="B105" s="22" t="s">
        <v>853</v>
      </c>
      <c r="C105" s="22" t="s">
        <v>51</v>
      </c>
      <c r="D105" s="24" t="str">
        <f>IF(OR(Cleaned!A105="",LOWER(Cleaned!A105)="not available",LOWER(Cleaned!A105)="not found"),"Not Available",HYPERLINK(Cleaned!A105,"Website"))</f>
        <v>Not Available</v>
      </c>
      <c r="E105" s="24" t="str">
        <f>IF(OR(Cleaned!C105="",LOWER(Cleaned!C105)="not available",LOWER(Cleaned!C105)="not found"),"Not Available",HYPERLINK(Cleaned!C105,"Instagram"))</f>
        <v>Not Available</v>
      </c>
      <c r="F105" s="23" t="str">
        <f>IF(OR(Cleaned!D105="",LOWER(Cleaned!D105)="not available",LOWER(Cleaned!D105)="not found"),"Not Available",HYPERLINK(Cleaned!D105,"Maps"))</f>
        <v>Maps</v>
      </c>
      <c r="G105" s="25" t="s">
        <v>855</v>
      </c>
      <c r="H105" s="26" t="s">
        <v>42</v>
      </c>
      <c r="I105" s="21" t="s">
        <v>42</v>
      </c>
      <c r="J105" s="28" t="s">
        <v>856</v>
      </c>
      <c r="K105" s="22" t="s">
        <v>903</v>
      </c>
      <c r="L105" s="22" t="s">
        <v>148</v>
      </c>
      <c r="M105" s="22" t="s">
        <v>149</v>
      </c>
    </row>
    <row r="106">
      <c r="A106" s="21">
        <v>105.0</v>
      </c>
      <c r="B106" s="22" t="s">
        <v>706</v>
      </c>
      <c r="C106" s="22" t="s">
        <v>708</v>
      </c>
      <c r="D106" s="24" t="str">
        <f>IF(OR(Cleaned!A106="",LOWER(Cleaned!A106)="not available",LOWER(Cleaned!A106)="not found"),"Not Available",HYPERLINK(Cleaned!A106,"Website"))</f>
        <v>Not Available</v>
      </c>
      <c r="E106" s="24" t="str">
        <f>IF(OR(Cleaned!C106="",LOWER(Cleaned!C106)="not available",LOWER(Cleaned!C106)="not found"),"Not Available",HYPERLINK(Cleaned!C106,"Instagram"))</f>
        <v>Not Available</v>
      </c>
      <c r="F106" s="23" t="str">
        <f>IF(OR(Cleaned!D106="",LOWER(Cleaned!D106)="not available",LOWER(Cleaned!D106)="not found"),"Not Available",HYPERLINK(Cleaned!D106,"Maps"))</f>
        <v>Maps</v>
      </c>
      <c r="G106" s="25" t="s">
        <v>710</v>
      </c>
      <c r="H106" s="22">
        <v>5.0</v>
      </c>
      <c r="I106" s="22">
        <v>53.0</v>
      </c>
      <c r="J106" s="28" t="s">
        <v>711</v>
      </c>
      <c r="K106" s="22" t="s">
        <v>904</v>
      </c>
      <c r="L106" s="22" t="s">
        <v>148</v>
      </c>
      <c r="M106" s="22" t="s">
        <v>149</v>
      </c>
    </row>
    <row r="107">
      <c r="A107" s="21">
        <v>106.0</v>
      </c>
      <c r="B107" s="22" t="s">
        <v>846</v>
      </c>
      <c r="C107" s="22" t="s">
        <v>847</v>
      </c>
      <c r="D107" s="24" t="str">
        <f>IF(OR(Cleaned!A107="",LOWER(Cleaned!A107)="not available",LOWER(Cleaned!A107)="not found"),"Not Available",HYPERLINK(Cleaned!A107,"Website"))</f>
        <v>Not Available</v>
      </c>
      <c r="E107" s="24" t="str">
        <f>IF(OR(Cleaned!C107="",LOWER(Cleaned!C107)="not available",LOWER(Cleaned!C107)="not found"),"Not Available",HYPERLINK(Cleaned!C107,"Instagram"))</f>
        <v>Not Available</v>
      </c>
      <c r="F107" s="23" t="str">
        <f>IF(OR(Cleaned!D107="",LOWER(Cleaned!D107)="not available",LOWER(Cleaned!D107)="not found"),"Not Available",HYPERLINK(Cleaned!D107,"Maps"))</f>
        <v>Maps</v>
      </c>
      <c r="G107" s="25" t="s">
        <v>849</v>
      </c>
      <c r="H107" s="22">
        <v>4.7</v>
      </c>
      <c r="I107" s="22">
        <v>10.0</v>
      </c>
      <c r="J107" s="28" t="s">
        <v>850</v>
      </c>
      <c r="K107" s="22" t="s">
        <v>905</v>
      </c>
      <c r="L107" s="22" t="s">
        <v>148</v>
      </c>
      <c r="M107" s="22" t="s">
        <v>149</v>
      </c>
    </row>
    <row r="108">
      <c r="A108" s="21">
        <v>107.0</v>
      </c>
      <c r="B108" s="22" t="s">
        <v>191</v>
      </c>
      <c r="C108" s="22" t="s">
        <v>192</v>
      </c>
      <c r="D108" s="23" t="str">
        <f>IF(OR(Cleaned!A108="",LOWER(Cleaned!A108)="not available",LOWER(Cleaned!A108)="not found"),"Not Available",HYPERLINK(Cleaned!A108,"Website"))</f>
        <v>Website</v>
      </c>
      <c r="E108" s="23" t="str">
        <f>IF(OR(Cleaned!C108="",LOWER(Cleaned!C108)="not available",LOWER(Cleaned!C108)="not found"),"Not Available",HYPERLINK(Cleaned!C108,"Instagram"))</f>
        <v>Instagram</v>
      </c>
      <c r="F108" s="23" t="str">
        <f>IF(OR(Cleaned!D108="",LOWER(Cleaned!D108)="not available",LOWER(Cleaned!D108)="not found"),"Not Available",HYPERLINK(Cleaned!D108,"Maps"))</f>
        <v>Maps</v>
      </c>
      <c r="G108" s="25" t="s">
        <v>193</v>
      </c>
      <c r="H108" s="22">
        <v>4.9</v>
      </c>
      <c r="I108" s="22">
        <v>283.0</v>
      </c>
      <c r="J108" s="28" t="s">
        <v>194</v>
      </c>
      <c r="K108" s="22" t="s">
        <v>906</v>
      </c>
      <c r="L108" s="22" t="s">
        <v>118</v>
      </c>
      <c r="M108" s="22" t="s">
        <v>119</v>
      </c>
    </row>
    <row r="109">
      <c r="A109" s="21">
        <v>108.0</v>
      </c>
      <c r="B109" s="22" t="s">
        <v>212</v>
      </c>
      <c r="C109" s="22" t="s">
        <v>192</v>
      </c>
      <c r="D109" s="23" t="str">
        <f>IF(OR(Cleaned!A109="",LOWER(Cleaned!A109)="not available",LOWER(Cleaned!A109)="not found"),"Not Available",HYPERLINK(Cleaned!A109,"Website"))</f>
        <v>Website</v>
      </c>
      <c r="E109" s="23" t="str">
        <f>IF(OR(Cleaned!C109="",LOWER(Cleaned!C109)="not available",LOWER(Cleaned!C109)="not found"),"Not Available",HYPERLINK(Cleaned!C109,"Instagram"))</f>
        <v>Instagram</v>
      </c>
      <c r="F109" s="23" t="str">
        <f>IF(OR(Cleaned!D109="",LOWER(Cleaned!D109)="not available",LOWER(Cleaned!D109)="not found"),"Not Available",HYPERLINK(Cleaned!D109,"Maps"))</f>
        <v>Maps</v>
      </c>
      <c r="G109" s="25" t="s">
        <v>214</v>
      </c>
      <c r="H109" s="22">
        <v>4.6</v>
      </c>
      <c r="I109" s="22">
        <v>291.0</v>
      </c>
      <c r="J109" s="28" t="s">
        <v>215</v>
      </c>
      <c r="K109" s="22" t="s">
        <v>907</v>
      </c>
      <c r="L109" s="22" t="s">
        <v>118</v>
      </c>
      <c r="M109" s="22" t="s">
        <v>119</v>
      </c>
    </row>
    <row r="110">
      <c r="A110" s="21">
        <v>109.0</v>
      </c>
      <c r="B110" s="22" t="s">
        <v>321</v>
      </c>
      <c r="C110" s="22" t="s">
        <v>322</v>
      </c>
      <c r="D110" s="23" t="str">
        <f>IF(OR(Cleaned!A110="",LOWER(Cleaned!A110)="not available",LOWER(Cleaned!A110)="not found"),"Not Available",HYPERLINK(Cleaned!A110,"Website"))</f>
        <v>Website</v>
      </c>
      <c r="E110" s="23" t="str">
        <f>IF(OR(Cleaned!C110="",LOWER(Cleaned!C110)="not available",LOWER(Cleaned!C110)="not found"),"Not Available",HYPERLINK(Cleaned!C110,"Instagram"))</f>
        <v>Instagram</v>
      </c>
      <c r="F110" s="23" t="str">
        <f>IF(OR(Cleaned!D110="",LOWER(Cleaned!D110)="not available",LOWER(Cleaned!D110)="not found"),"Not Available",HYPERLINK(Cleaned!D110,"Maps"))</f>
        <v>Maps</v>
      </c>
      <c r="G110" s="25" t="s">
        <v>323</v>
      </c>
      <c r="H110" s="22">
        <v>4.9</v>
      </c>
      <c r="I110" s="22">
        <v>130.0</v>
      </c>
      <c r="J110" s="28" t="s">
        <v>325</v>
      </c>
      <c r="K110" s="22" t="s">
        <v>908</v>
      </c>
      <c r="L110" s="22" t="s">
        <v>118</v>
      </c>
      <c r="M110" s="22" t="s">
        <v>119</v>
      </c>
    </row>
    <row r="111">
      <c r="A111" s="21">
        <v>110.0</v>
      </c>
      <c r="B111" s="22" t="s">
        <v>774</v>
      </c>
      <c r="C111" s="22" t="s">
        <v>102</v>
      </c>
      <c r="D111" s="23" t="str">
        <f>IF(OR(Cleaned!A111="",LOWER(Cleaned!A111)="not available",LOWER(Cleaned!A111)="not found"),"Not Available",HYPERLINK(Cleaned!A111,"Website"))</f>
        <v>Website</v>
      </c>
      <c r="E111" s="23" t="str">
        <f>IF(OR(Cleaned!C111="",LOWER(Cleaned!C111)="not available",LOWER(Cleaned!C111)="not found"),"Not Available",HYPERLINK(Cleaned!C111,"Instagram"))</f>
        <v>Instagram</v>
      </c>
      <c r="F111" s="23" t="str">
        <f>IF(OR(Cleaned!D111="",LOWER(Cleaned!D111)="not available",LOWER(Cleaned!D111)="not found"),"Not Available",HYPERLINK(Cleaned!D111,"Maps"))</f>
        <v>Maps</v>
      </c>
      <c r="G111" s="25" t="s">
        <v>775</v>
      </c>
      <c r="H111" s="22">
        <v>4.8</v>
      </c>
      <c r="I111" s="22">
        <v>155.0</v>
      </c>
      <c r="J111" s="28" t="s">
        <v>776</v>
      </c>
      <c r="K111" s="22" t="s">
        <v>504</v>
      </c>
      <c r="L111" s="22" t="s">
        <v>118</v>
      </c>
      <c r="M111" s="22" t="s">
        <v>119</v>
      </c>
    </row>
    <row r="112">
      <c r="A112" s="21">
        <v>111.0</v>
      </c>
      <c r="B112" s="22" t="s">
        <v>397</v>
      </c>
      <c r="C112" s="22" t="s">
        <v>322</v>
      </c>
      <c r="D112" s="23" t="str">
        <f>IF(OR(Cleaned!A112="",LOWER(Cleaned!A112)="not available",LOWER(Cleaned!A112)="not found"),"Not Available",HYPERLINK(Cleaned!A112,"Website"))</f>
        <v>Website</v>
      </c>
      <c r="E112" s="23" t="str">
        <f>IF(OR(Cleaned!C112="",LOWER(Cleaned!C112)="not available",LOWER(Cleaned!C112)="not found"),"Not Available",HYPERLINK(Cleaned!C112,"Instagram"))</f>
        <v>Instagram</v>
      </c>
      <c r="F112" s="23" t="str">
        <f>IF(OR(Cleaned!D112="",LOWER(Cleaned!D112)="not available",LOWER(Cleaned!D112)="not found"),"Not Available",HYPERLINK(Cleaned!D112,"Maps"))</f>
        <v>Maps</v>
      </c>
      <c r="G112" s="25" t="s">
        <v>398</v>
      </c>
      <c r="H112" s="22">
        <v>4.6</v>
      </c>
      <c r="I112" s="22">
        <v>131.0</v>
      </c>
      <c r="J112" s="28" t="s">
        <v>399</v>
      </c>
      <c r="K112" s="27" t="s">
        <v>42</v>
      </c>
      <c r="L112" s="22" t="s">
        <v>118</v>
      </c>
      <c r="M112" s="22" t="s">
        <v>119</v>
      </c>
    </row>
    <row r="113">
      <c r="A113" s="21">
        <v>112.0</v>
      </c>
      <c r="B113" s="22" t="s">
        <v>659</v>
      </c>
      <c r="C113" s="22" t="s">
        <v>470</v>
      </c>
      <c r="D113" s="23" t="str">
        <f>IF(OR(Cleaned!A113="",LOWER(Cleaned!A113)="not available",LOWER(Cleaned!A113)="not found"),"Not Available",HYPERLINK(Cleaned!A113,"Website"))</f>
        <v>Website</v>
      </c>
      <c r="E113" s="23" t="str">
        <f>IF(OR(Cleaned!C113="",LOWER(Cleaned!C113)="not available",LOWER(Cleaned!C113)="not found"),"Not Available",HYPERLINK(Cleaned!C113,"Instagram"))</f>
        <v>Instagram</v>
      </c>
      <c r="F113" s="23" t="str">
        <f>IF(OR(Cleaned!D113="",LOWER(Cleaned!D113)="not available",LOWER(Cleaned!D113)="not found"),"Not Available",HYPERLINK(Cleaned!D113,"Maps"))</f>
        <v>Maps</v>
      </c>
      <c r="G113" s="25" t="s">
        <v>660</v>
      </c>
      <c r="H113" s="22">
        <v>4.9</v>
      </c>
      <c r="I113" s="22">
        <v>44.0</v>
      </c>
      <c r="J113" s="28" t="s">
        <v>661</v>
      </c>
      <c r="K113" s="22" t="s">
        <v>633</v>
      </c>
      <c r="L113" s="22" t="s">
        <v>118</v>
      </c>
      <c r="M113" s="22" t="s">
        <v>119</v>
      </c>
    </row>
    <row r="114">
      <c r="A114" s="21">
        <v>113.0</v>
      </c>
      <c r="B114" s="22" t="s">
        <v>878</v>
      </c>
      <c r="C114" s="22" t="s">
        <v>308</v>
      </c>
      <c r="D114" s="23" t="str">
        <f>IF(OR(Cleaned!A114="",LOWER(Cleaned!A114)="not available",LOWER(Cleaned!A114)="not found"),"Not Available",HYPERLINK(Cleaned!A114,"Website"))</f>
        <v>Website</v>
      </c>
      <c r="E114" s="23" t="str">
        <f>IF(OR(Cleaned!C114="",LOWER(Cleaned!C114)="not available",LOWER(Cleaned!C114)="not found"),"Not Available",HYPERLINK(Cleaned!C114,"Instagram"))</f>
        <v>Instagram</v>
      </c>
      <c r="F114" s="23" t="str">
        <f>IF(OR(Cleaned!D114="",LOWER(Cleaned!D114)="not available",LOWER(Cleaned!D114)="not found"),"Not Available",HYPERLINK(Cleaned!D114,"Maps"))</f>
        <v>Maps</v>
      </c>
      <c r="G114" s="25" t="s">
        <v>882</v>
      </c>
      <c r="H114" s="22">
        <v>5.0</v>
      </c>
      <c r="I114" s="22">
        <v>35.0</v>
      </c>
      <c r="J114" s="28" t="s">
        <v>883</v>
      </c>
      <c r="K114" s="22" t="s">
        <v>909</v>
      </c>
      <c r="L114" s="22" t="s">
        <v>118</v>
      </c>
      <c r="M114" s="22" t="s">
        <v>119</v>
      </c>
    </row>
    <row r="115">
      <c r="A115" s="21">
        <v>114.0</v>
      </c>
      <c r="B115" s="22" t="s">
        <v>464</v>
      </c>
      <c r="C115" s="22" t="s">
        <v>466</v>
      </c>
      <c r="D115" s="24" t="str">
        <f>IF(OR(Cleaned!A115="",LOWER(Cleaned!A115)="not available",LOWER(Cleaned!A115)="not found"),"Not Available",HYPERLINK(Cleaned!A115,"Website"))</f>
        <v>Not Available</v>
      </c>
      <c r="E115" s="24" t="str">
        <f>IF(OR(Cleaned!C115="",LOWER(Cleaned!C115)="not available",LOWER(Cleaned!C115)="not found"),"Not Available",HYPERLINK(Cleaned!C115,"Instagram"))</f>
        <v>Not Available</v>
      </c>
      <c r="F115" s="23" t="str">
        <f>IF(OR(Cleaned!D115="",LOWER(Cleaned!D115)="not available",LOWER(Cleaned!D115)="not found"),"Not Available",HYPERLINK(Cleaned!D115,"Maps"))</f>
        <v>Maps</v>
      </c>
      <c r="G115" s="25" t="s">
        <v>467</v>
      </c>
      <c r="H115" s="22">
        <v>4.6</v>
      </c>
      <c r="I115" s="22">
        <v>67.0</v>
      </c>
      <c r="J115" s="28" t="s">
        <v>468</v>
      </c>
      <c r="K115" s="27" t="s">
        <v>42</v>
      </c>
      <c r="L115" s="22" t="s">
        <v>148</v>
      </c>
      <c r="M115" s="22" t="s">
        <v>149</v>
      </c>
    </row>
    <row r="116">
      <c r="A116" s="21">
        <v>115.0</v>
      </c>
      <c r="B116" s="22" t="s">
        <v>277</v>
      </c>
      <c r="C116" s="22" t="s">
        <v>278</v>
      </c>
      <c r="D116" s="23" t="str">
        <f>IF(OR(Cleaned!A116="",LOWER(Cleaned!A116)="not available",LOWER(Cleaned!A116)="not found"),"Not Available",HYPERLINK(Cleaned!A116,"Website"))</f>
        <v>Website</v>
      </c>
      <c r="E116" s="23" t="str">
        <f>IF(OR(Cleaned!C116="",LOWER(Cleaned!C116)="not available",LOWER(Cleaned!C116)="not found"),"Not Available",HYPERLINK(Cleaned!C116,"Instagram"))</f>
        <v>Instagram</v>
      </c>
      <c r="F116" s="23" t="str">
        <f>IF(OR(Cleaned!D116="",LOWER(Cleaned!D116)="not available",LOWER(Cleaned!D116)="not found"),"Not Available",HYPERLINK(Cleaned!D116,"Maps"))</f>
        <v>Maps</v>
      </c>
      <c r="G116" s="25" t="s">
        <v>282</v>
      </c>
      <c r="H116" s="22">
        <v>4.1</v>
      </c>
      <c r="I116" s="22">
        <v>1737.0</v>
      </c>
      <c r="J116" s="28" t="s">
        <v>284</v>
      </c>
      <c r="K116" s="27" t="s">
        <v>42</v>
      </c>
      <c r="L116" s="22" t="s">
        <v>118</v>
      </c>
      <c r="M116" s="22" t="s">
        <v>119</v>
      </c>
    </row>
    <row r="117">
      <c r="A117" s="21">
        <v>116.0</v>
      </c>
      <c r="B117" s="22" t="s">
        <v>761</v>
      </c>
      <c r="C117" s="22" t="s">
        <v>51</v>
      </c>
      <c r="D117" s="23" t="str">
        <f>IF(OR(Cleaned!A117="",LOWER(Cleaned!A117)="not available",LOWER(Cleaned!A117)="not found"),"Not Available",HYPERLINK(Cleaned!A117,"Website"))</f>
        <v>Website</v>
      </c>
      <c r="E117" s="24" t="str">
        <f>IF(OR(Cleaned!C117="",LOWER(Cleaned!C117)="not available",LOWER(Cleaned!C117)="not found"),"Not Available",HYPERLINK(Cleaned!C117,"Instagram"))</f>
        <v>Not Available</v>
      </c>
      <c r="F117" s="23" t="str">
        <f>IF(OR(Cleaned!D117="",LOWER(Cleaned!D117)="not available",LOWER(Cleaned!D117)="not found"),"Not Available",HYPERLINK(Cleaned!D117,"Maps"))</f>
        <v>Maps</v>
      </c>
      <c r="G117" s="25" t="s">
        <v>762</v>
      </c>
      <c r="H117" s="22">
        <v>4.9</v>
      </c>
      <c r="I117" s="22">
        <v>96.0</v>
      </c>
      <c r="J117" s="28" t="s">
        <v>763</v>
      </c>
      <c r="K117" s="22" t="s">
        <v>504</v>
      </c>
      <c r="L117" s="22" t="s">
        <v>98</v>
      </c>
      <c r="M117" s="22" t="s">
        <v>100</v>
      </c>
    </row>
    <row r="118">
      <c r="A118" s="21">
        <v>117.0</v>
      </c>
      <c r="B118" s="22" t="s">
        <v>576</v>
      </c>
      <c r="C118" s="22" t="s">
        <v>322</v>
      </c>
      <c r="D118" s="24" t="str">
        <f>IF(OR(Cleaned!A118="",LOWER(Cleaned!A118)="not available",LOWER(Cleaned!A118)="not found"),"Not Available",HYPERLINK(Cleaned!A118,"Website"))</f>
        <v>Not Available</v>
      </c>
      <c r="E118" s="24" t="str">
        <f>IF(OR(Cleaned!C118="",LOWER(Cleaned!C118)="not available",LOWER(Cleaned!C118)="not found"),"Not Available",HYPERLINK(Cleaned!C118,"Instagram"))</f>
        <v>Not Available</v>
      </c>
      <c r="F118" s="23" t="str">
        <f>IF(OR(Cleaned!D118="",LOWER(Cleaned!D118)="not available",LOWER(Cleaned!D118)="not found"),"Not Available",HYPERLINK(Cleaned!D118,"Maps"))</f>
        <v>Maps</v>
      </c>
      <c r="G118" s="25" t="s">
        <v>577</v>
      </c>
      <c r="H118" s="22">
        <v>4.9</v>
      </c>
      <c r="I118" s="22">
        <v>42.0</v>
      </c>
      <c r="J118" s="26" t="s">
        <v>42</v>
      </c>
      <c r="K118" s="27" t="s">
        <v>42</v>
      </c>
      <c r="L118" s="22" t="s">
        <v>148</v>
      </c>
      <c r="M118" s="22" t="s">
        <v>149</v>
      </c>
    </row>
    <row r="119">
      <c r="A119" s="21">
        <v>118.0</v>
      </c>
      <c r="B119" s="22" t="s">
        <v>768</v>
      </c>
      <c r="C119" s="22" t="s">
        <v>192</v>
      </c>
      <c r="D119" s="24" t="str">
        <f>IF(OR(Cleaned!A119="",LOWER(Cleaned!A119)="not available",LOWER(Cleaned!A119)="not found"),"Not Available",HYPERLINK(Cleaned!A119,"Website"))</f>
        <v>Not Available</v>
      </c>
      <c r="E119" s="24" t="str">
        <f>IF(OR(Cleaned!C119="",LOWER(Cleaned!C119)="not available",LOWER(Cleaned!C119)="not found"),"Not Available",HYPERLINK(Cleaned!C119,"Instagram"))</f>
        <v>Not Available</v>
      </c>
      <c r="F119" s="23" t="str">
        <f>IF(OR(Cleaned!D119="",LOWER(Cleaned!D119)="not available",LOWER(Cleaned!D119)="not found"),"Not Available",HYPERLINK(Cleaned!D119,"Maps"))</f>
        <v>Maps</v>
      </c>
      <c r="G119" s="25" t="s">
        <v>769</v>
      </c>
      <c r="H119" s="22">
        <v>5.0</v>
      </c>
      <c r="I119" s="22">
        <v>115.0</v>
      </c>
      <c r="J119" s="28" t="s">
        <v>771</v>
      </c>
      <c r="K119" s="22" t="s">
        <v>504</v>
      </c>
      <c r="L119" s="22" t="s">
        <v>148</v>
      </c>
      <c r="M119" s="22" t="s">
        <v>149</v>
      </c>
    </row>
    <row r="120">
      <c r="A120" s="21">
        <v>119.0</v>
      </c>
      <c r="B120" s="22" t="s">
        <v>888</v>
      </c>
      <c r="C120" s="22" t="s">
        <v>892</v>
      </c>
      <c r="D120" s="23" t="str">
        <f>IF(OR(Cleaned!A120="",LOWER(Cleaned!A120)="not available",LOWER(Cleaned!A120)="not found"),"Not Available",HYPERLINK(Cleaned!A120,"Website"))</f>
        <v>Website</v>
      </c>
      <c r="E120" s="23" t="str">
        <f>IF(OR(Cleaned!C120="",LOWER(Cleaned!C120)="not available",LOWER(Cleaned!C120)="not found"),"Not Available",HYPERLINK(Cleaned!C120,"Instagram"))</f>
        <v>Instagram</v>
      </c>
      <c r="F120" s="23" t="str">
        <f>IF(OR(Cleaned!D120="",LOWER(Cleaned!D120)="not available",LOWER(Cleaned!D120)="not found"),"Not Available",HYPERLINK(Cleaned!D120,"Maps"))</f>
        <v>Maps</v>
      </c>
      <c r="G120" s="25" t="s">
        <v>893</v>
      </c>
      <c r="H120" s="22">
        <v>4.5</v>
      </c>
      <c r="I120" s="22">
        <v>206.0</v>
      </c>
      <c r="J120" s="28" t="s">
        <v>894</v>
      </c>
      <c r="K120" s="27" t="s">
        <v>42</v>
      </c>
      <c r="L120" s="22" t="s">
        <v>118</v>
      </c>
      <c r="M120" s="22" t="s">
        <v>119</v>
      </c>
    </row>
    <row r="121">
      <c r="A121" s="21">
        <v>120.0</v>
      </c>
      <c r="B121" s="22" t="s">
        <v>269</v>
      </c>
      <c r="C121" s="22" t="s">
        <v>192</v>
      </c>
      <c r="D121" s="24" t="str">
        <f>IF(OR(Cleaned!A121="",LOWER(Cleaned!A121)="not available",LOWER(Cleaned!A121)="not found"),"Not Available",HYPERLINK(Cleaned!A121,"Website"))</f>
        <v>Not Available</v>
      </c>
      <c r="E121" s="23" t="str">
        <f>IF(OR(Cleaned!C121="",LOWER(Cleaned!C121)="not available",LOWER(Cleaned!C121)="not found"),"Not Available",HYPERLINK(Cleaned!C121,"Instagram"))</f>
        <v>Instagram</v>
      </c>
      <c r="F121" s="23" t="str">
        <f>IF(OR(Cleaned!D121="",LOWER(Cleaned!D121)="not available",LOWER(Cleaned!D121)="not found"),"Not Available",HYPERLINK(Cleaned!D121,"Maps"))</f>
        <v>Maps</v>
      </c>
      <c r="G121" s="25" t="s">
        <v>270</v>
      </c>
      <c r="H121" s="22">
        <v>5.0</v>
      </c>
      <c r="I121" s="22">
        <v>23.0</v>
      </c>
      <c r="J121" s="28" t="s">
        <v>273</v>
      </c>
      <c r="K121" s="22" t="s">
        <v>910</v>
      </c>
      <c r="L121" s="22" t="s">
        <v>118</v>
      </c>
      <c r="M121" s="22" t="s">
        <v>119</v>
      </c>
    </row>
    <row r="122">
      <c r="A122" s="30"/>
      <c r="B122" s="30"/>
      <c r="C122" s="30"/>
      <c r="G122" s="15"/>
      <c r="H122" s="31"/>
      <c r="I122" s="31"/>
      <c r="K122" s="31"/>
      <c r="L122" s="31"/>
      <c r="M122" s="31"/>
    </row>
    <row r="123">
      <c r="A123" s="30"/>
      <c r="B123" s="30"/>
      <c r="C123" s="30"/>
      <c r="G123" s="15"/>
      <c r="H123" s="31"/>
      <c r="I123" s="31"/>
      <c r="K123" s="31"/>
      <c r="L123" s="31"/>
      <c r="M123" s="31"/>
    </row>
    <row r="124">
      <c r="A124" s="30"/>
      <c r="B124" s="30"/>
      <c r="C124" s="30"/>
      <c r="G124" s="15"/>
      <c r="H124" s="31"/>
      <c r="I124" s="31"/>
      <c r="K124" s="31"/>
      <c r="L124" s="31"/>
      <c r="M124" s="31"/>
    </row>
    <row r="125">
      <c r="A125" s="30"/>
      <c r="B125" s="30"/>
      <c r="C125" s="30"/>
      <c r="G125" s="15"/>
      <c r="H125" s="31"/>
      <c r="I125" s="31"/>
      <c r="K125" s="31"/>
      <c r="L125" s="31"/>
      <c r="M125" s="31"/>
    </row>
    <row r="126">
      <c r="A126" s="30"/>
      <c r="B126" s="30"/>
      <c r="C126" s="30"/>
      <c r="G126" s="15"/>
      <c r="H126" s="31"/>
      <c r="I126" s="31"/>
      <c r="K126" s="31"/>
      <c r="L126" s="31"/>
      <c r="M126" s="31"/>
    </row>
    <row r="127">
      <c r="A127" s="30"/>
      <c r="B127" s="30"/>
      <c r="C127" s="30"/>
      <c r="G127" s="15"/>
      <c r="H127" s="31"/>
      <c r="I127" s="31"/>
      <c r="K127" s="31"/>
      <c r="L127" s="31"/>
      <c r="M127" s="31"/>
    </row>
    <row r="128">
      <c r="H128" s="31"/>
      <c r="I128" s="31"/>
      <c r="K128" s="31"/>
      <c r="L128" s="31"/>
      <c r="M128" s="31"/>
    </row>
    <row r="129">
      <c r="H129" s="31"/>
      <c r="I129" s="31"/>
      <c r="K129" s="31"/>
      <c r="L129" s="31"/>
      <c r="M129" s="31"/>
    </row>
    <row r="130">
      <c r="H130" s="31"/>
      <c r="I130" s="31"/>
      <c r="K130" s="31"/>
      <c r="L130" s="31"/>
      <c r="M130" s="31"/>
    </row>
    <row r="131">
      <c r="H131" s="31"/>
      <c r="I131" s="31"/>
      <c r="K131" s="31"/>
      <c r="L131" s="31"/>
      <c r="M131" s="31"/>
    </row>
    <row r="132">
      <c r="H132" s="31"/>
      <c r="I132" s="31"/>
      <c r="K132" s="31"/>
      <c r="L132" s="31"/>
      <c r="M132" s="31"/>
    </row>
    <row r="133">
      <c r="H133" s="31"/>
      <c r="I133" s="31"/>
      <c r="K133" s="31"/>
      <c r="L133" s="31"/>
      <c r="M133" s="31"/>
    </row>
    <row r="134">
      <c r="H134" s="31"/>
      <c r="I134" s="31"/>
      <c r="K134" s="31"/>
      <c r="L134" s="31"/>
      <c r="M134" s="31"/>
    </row>
    <row r="135">
      <c r="H135" s="31"/>
      <c r="I135" s="31"/>
      <c r="K135" s="31"/>
      <c r="L135" s="31"/>
      <c r="M135" s="31"/>
    </row>
    <row r="136">
      <c r="H136" s="31"/>
      <c r="I136" s="31"/>
      <c r="K136" s="31"/>
      <c r="L136" s="31"/>
      <c r="M136" s="31"/>
    </row>
    <row r="137">
      <c r="H137" s="31"/>
      <c r="I137" s="31"/>
      <c r="K137" s="31"/>
      <c r="L137" s="31"/>
      <c r="M137" s="31"/>
    </row>
    <row r="138">
      <c r="H138" s="31"/>
      <c r="I138" s="31"/>
      <c r="K138" s="31"/>
      <c r="L138" s="31"/>
      <c r="M138" s="31"/>
    </row>
    <row r="139">
      <c r="H139" s="31"/>
      <c r="I139" s="31"/>
      <c r="K139" s="31"/>
      <c r="L139" s="31"/>
      <c r="M139" s="31"/>
    </row>
    <row r="140">
      <c r="H140" s="31"/>
      <c r="I140" s="31"/>
      <c r="K140" s="31"/>
      <c r="L140" s="31"/>
      <c r="M140" s="31"/>
    </row>
    <row r="141">
      <c r="H141" s="31"/>
      <c r="I141" s="31"/>
      <c r="K141" s="31"/>
      <c r="L141" s="31"/>
      <c r="M141" s="31"/>
    </row>
    <row r="142">
      <c r="H142" s="31"/>
      <c r="I142" s="31"/>
      <c r="K142" s="31"/>
      <c r="L142" s="31"/>
      <c r="M142" s="31"/>
    </row>
    <row r="143">
      <c r="H143" s="31"/>
      <c r="I143" s="31"/>
      <c r="K143" s="31"/>
      <c r="L143" s="31"/>
      <c r="M143" s="31"/>
    </row>
    <row r="144">
      <c r="H144" s="31"/>
      <c r="I144" s="31"/>
      <c r="K144" s="31"/>
      <c r="L144" s="31"/>
      <c r="M144" s="31"/>
    </row>
    <row r="145">
      <c r="H145" s="31"/>
      <c r="I145" s="31"/>
      <c r="K145" s="31"/>
      <c r="L145" s="31"/>
      <c r="M145" s="31"/>
    </row>
    <row r="146">
      <c r="H146" s="31"/>
      <c r="I146" s="31"/>
      <c r="K146" s="31"/>
      <c r="L146" s="31"/>
      <c r="M146" s="31"/>
    </row>
    <row r="147">
      <c r="H147" s="31"/>
      <c r="I147" s="31"/>
      <c r="K147" s="31"/>
      <c r="L147" s="31"/>
      <c r="M147" s="31"/>
    </row>
    <row r="148">
      <c r="H148" s="31"/>
      <c r="I148" s="31"/>
      <c r="K148" s="31"/>
      <c r="L148" s="31"/>
      <c r="M148" s="31"/>
    </row>
    <row r="149">
      <c r="H149" s="31"/>
      <c r="I149" s="31"/>
      <c r="K149" s="31"/>
      <c r="L149" s="31"/>
      <c r="M149" s="31"/>
    </row>
    <row r="150">
      <c r="H150" s="31"/>
      <c r="I150" s="31"/>
      <c r="K150" s="31"/>
      <c r="L150" s="31"/>
      <c r="M150" s="31"/>
    </row>
    <row r="151">
      <c r="H151" s="31"/>
      <c r="I151" s="31"/>
      <c r="K151" s="31"/>
      <c r="L151" s="31"/>
      <c r="M151" s="31"/>
    </row>
    <row r="152">
      <c r="H152" s="31"/>
      <c r="I152" s="31"/>
      <c r="K152" s="31"/>
      <c r="L152" s="31"/>
      <c r="M152" s="31"/>
    </row>
    <row r="153">
      <c r="H153" s="31"/>
      <c r="I153" s="31"/>
      <c r="K153" s="31"/>
      <c r="L153" s="31"/>
      <c r="M153" s="31"/>
    </row>
    <row r="154">
      <c r="H154" s="31"/>
      <c r="I154" s="31"/>
      <c r="K154" s="31"/>
      <c r="L154" s="31"/>
      <c r="M154" s="31"/>
    </row>
    <row r="155">
      <c r="H155" s="31"/>
      <c r="I155" s="31"/>
      <c r="K155" s="31"/>
      <c r="L155" s="31"/>
      <c r="M155" s="31"/>
    </row>
    <row r="156">
      <c r="H156" s="31"/>
      <c r="I156" s="31"/>
      <c r="K156" s="31"/>
      <c r="L156" s="31"/>
      <c r="M156" s="31"/>
    </row>
    <row r="157">
      <c r="H157" s="31"/>
      <c r="I157" s="31"/>
      <c r="K157" s="31"/>
      <c r="L157" s="31"/>
      <c r="M157" s="31"/>
    </row>
    <row r="158">
      <c r="H158" s="31"/>
      <c r="I158" s="31"/>
      <c r="K158" s="31"/>
      <c r="L158" s="31"/>
      <c r="M158" s="31"/>
    </row>
    <row r="159">
      <c r="H159" s="31"/>
      <c r="I159" s="31"/>
      <c r="K159" s="31"/>
      <c r="L159" s="31"/>
      <c r="M159" s="31"/>
    </row>
    <row r="160">
      <c r="H160" s="31"/>
      <c r="I160" s="31"/>
      <c r="K160" s="31"/>
      <c r="L160" s="31"/>
      <c r="M160" s="31"/>
    </row>
    <row r="161">
      <c r="H161" s="31"/>
      <c r="I161" s="31"/>
      <c r="K161" s="31"/>
      <c r="L161" s="31"/>
      <c r="M161" s="31"/>
    </row>
    <row r="162">
      <c r="H162" s="31"/>
      <c r="I162" s="31"/>
      <c r="K162" s="31"/>
      <c r="L162" s="31"/>
      <c r="M162" s="31"/>
    </row>
    <row r="163">
      <c r="H163" s="31"/>
      <c r="I163" s="31"/>
      <c r="K163" s="31"/>
      <c r="L163" s="31"/>
      <c r="M163" s="31"/>
    </row>
    <row r="164">
      <c r="H164" s="31"/>
      <c r="I164" s="31"/>
      <c r="K164" s="31"/>
      <c r="L164" s="31"/>
      <c r="M164" s="31"/>
    </row>
    <row r="165">
      <c r="H165" s="31"/>
      <c r="I165" s="31"/>
      <c r="K165" s="31"/>
      <c r="L165" s="31"/>
      <c r="M165" s="31"/>
    </row>
    <row r="166">
      <c r="H166" s="31"/>
      <c r="I166" s="31"/>
      <c r="K166" s="31"/>
      <c r="L166" s="31"/>
      <c r="M166" s="31"/>
    </row>
    <row r="167">
      <c r="H167" s="31"/>
      <c r="I167" s="31"/>
      <c r="K167" s="31"/>
      <c r="L167" s="31"/>
      <c r="M167" s="31"/>
    </row>
    <row r="168">
      <c r="H168" s="31"/>
      <c r="I168" s="31"/>
      <c r="K168" s="31"/>
      <c r="L168" s="31"/>
      <c r="M168" s="31"/>
    </row>
    <row r="169">
      <c r="H169" s="31"/>
      <c r="I169" s="31"/>
      <c r="K169" s="31"/>
      <c r="L169" s="31"/>
      <c r="M169" s="31"/>
    </row>
    <row r="170">
      <c r="H170" s="31"/>
      <c r="I170" s="31"/>
      <c r="K170" s="31"/>
      <c r="L170" s="31"/>
      <c r="M170" s="31"/>
    </row>
    <row r="171">
      <c r="H171" s="31"/>
      <c r="I171" s="31"/>
      <c r="K171" s="31"/>
      <c r="L171" s="31"/>
      <c r="M171" s="31"/>
    </row>
    <row r="172">
      <c r="H172" s="31"/>
      <c r="I172" s="31"/>
      <c r="K172" s="31"/>
      <c r="L172" s="31"/>
      <c r="M172" s="31"/>
    </row>
    <row r="173">
      <c r="H173" s="31"/>
      <c r="I173" s="31"/>
      <c r="K173" s="31"/>
      <c r="L173" s="31"/>
      <c r="M173" s="31"/>
    </row>
    <row r="174">
      <c r="H174" s="31"/>
      <c r="I174" s="31"/>
      <c r="K174" s="31"/>
      <c r="L174" s="31"/>
      <c r="M174" s="31"/>
    </row>
    <row r="175">
      <c r="H175" s="31"/>
      <c r="I175" s="31"/>
      <c r="K175" s="31"/>
      <c r="L175" s="31"/>
      <c r="M175" s="31"/>
    </row>
    <row r="176">
      <c r="H176" s="31"/>
      <c r="I176" s="31"/>
      <c r="K176" s="31"/>
      <c r="L176" s="31"/>
      <c r="M176" s="31"/>
    </row>
    <row r="177">
      <c r="H177" s="31"/>
      <c r="I177" s="31"/>
      <c r="K177" s="31"/>
      <c r="L177" s="31"/>
      <c r="M177" s="31"/>
    </row>
    <row r="178">
      <c r="H178" s="31"/>
      <c r="I178" s="31"/>
      <c r="K178" s="31"/>
      <c r="L178" s="31"/>
      <c r="M178" s="31"/>
    </row>
    <row r="179">
      <c r="H179" s="31"/>
      <c r="I179" s="31"/>
      <c r="K179" s="31"/>
      <c r="L179" s="31"/>
      <c r="M179" s="31"/>
    </row>
    <row r="180">
      <c r="H180" s="31"/>
      <c r="I180" s="31"/>
      <c r="K180" s="31"/>
      <c r="L180" s="31"/>
      <c r="M180" s="31"/>
    </row>
    <row r="181">
      <c r="H181" s="31"/>
      <c r="I181" s="31"/>
      <c r="K181" s="31"/>
      <c r="L181" s="31"/>
      <c r="M181" s="31"/>
    </row>
    <row r="182">
      <c r="H182" s="31"/>
      <c r="I182" s="31"/>
      <c r="K182" s="31"/>
      <c r="L182" s="31"/>
      <c r="M182" s="31"/>
    </row>
    <row r="183">
      <c r="H183" s="31"/>
      <c r="I183" s="31"/>
      <c r="K183" s="31"/>
      <c r="L183" s="31"/>
      <c r="M183" s="31"/>
    </row>
    <row r="184">
      <c r="H184" s="31"/>
      <c r="I184" s="31"/>
      <c r="K184" s="31"/>
      <c r="L184" s="31"/>
      <c r="M184" s="31"/>
    </row>
    <row r="185">
      <c r="H185" s="31"/>
      <c r="I185" s="31"/>
      <c r="K185" s="31"/>
      <c r="L185" s="31"/>
      <c r="M185" s="31"/>
    </row>
    <row r="186">
      <c r="H186" s="31"/>
      <c r="I186" s="31"/>
      <c r="K186" s="31"/>
      <c r="L186" s="31"/>
      <c r="M186" s="31"/>
    </row>
    <row r="187">
      <c r="H187" s="31"/>
      <c r="I187" s="31"/>
      <c r="K187" s="31"/>
      <c r="L187" s="31"/>
      <c r="M187" s="31"/>
    </row>
    <row r="188">
      <c r="H188" s="31"/>
      <c r="I188" s="31"/>
      <c r="K188" s="31"/>
      <c r="L188" s="31"/>
      <c r="M188" s="31"/>
    </row>
    <row r="189">
      <c r="H189" s="31"/>
      <c r="I189" s="31"/>
      <c r="K189" s="31"/>
      <c r="L189" s="31"/>
      <c r="M189" s="31"/>
    </row>
    <row r="190">
      <c r="H190" s="31"/>
      <c r="I190" s="31"/>
      <c r="K190" s="31"/>
      <c r="L190" s="31"/>
      <c r="M190" s="31"/>
    </row>
    <row r="191">
      <c r="H191" s="31"/>
      <c r="I191" s="31"/>
      <c r="K191" s="31"/>
      <c r="L191" s="31"/>
      <c r="M191" s="31"/>
    </row>
    <row r="192">
      <c r="H192" s="31"/>
      <c r="I192" s="31"/>
      <c r="K192" s="31"/>
      <c r="L192" s="31"/>
      <c r="M192" s="31"/>
    </row>
    <row r="193">
      <c r="H193" s="31"/>
      <c r="I193" s="31"/>
      <c r="K193" s="31"/>
      <c r="L193" s="31"/>
      <c r="M193" s="31"/>
    </row>
    <row r="194">
      <c r="H194" s="31"/>
      <c r="I194" s="31"/>
      <c r="K194" s="31"/>
      <c r="L194" s="31"/>
      <c r="M194" s="31"/>
    </row>
    <row r="195">
      <c r="H195" s="31"/>
      <c r="I195" s="31"/>
      <c r="K195" s="31"/>
      <c r="L195" s="31"/>
      <c r="M195" s="31"/>
    </row>
    <row r="196">
      <c r="H196" s="31"/>
      <c r="I196" s="31"/>
      <c r="K196" s="31"/>
      <c r="L196" s="31"/>
      <c r="M196" s="31"/>
    </row>
    <row r="197">
      <c r="H197" s="31"/>
      <c r="I197" s="31"/>
      <c r="K197" s="31"/>
      <c r="L197" s="31"/>
      <c r="M197" s="31"/>
    </row>
    <row r="198">
      <c r="H198" s="31"/>
      <c r="I198" s="31"/>
      <c r="K198" s="31"/>
      <c r="L198" s="31"/>
      <c r="M198" s="31"/>
    </row>
    <row r="199">
      <c r="H199" s="31"/>
      <c r="I199" s="31"/>
      <c r="K199" s="31"/>
      <c r="L199" s="31"/>
      <c r="M199" s="31"/>
    </row>
    <row r="200">
      <c r="H200" s="31"/>
      <c r="I200" s="31"/>
      <c r="K200" s="31"/>
      <c r="L200" s="31"/>
      <c r="M200" s="31"/>
    </row>
    <row r="201">
      <c r="H201" s="31"/>
      <c r="I201" s="31"/>
      <c r="K201" s="31"/>
      <c r="L201" s="31"/>
      <c r="M201" s="31"/>
    </row>
    <row r="202">
      <c r="H202" s="31"/>
      <c r="I202" s="31"/>
      <c r="K202" s="31"/>
      <c r="L202" s="31"/>
      <c r="M202" s="31"/>
    </row>
    <row r="203">
      <c r="H203" s="31"/>
      <c r="I203" s="31"/>
      <c r="K203" s="31"/>
      <c r="L203" s="31"/>
      <c r="M203" s="31"/>
    </row>
    <row r="204">
      <c r="H204" s="31"/>
      <c r="I204" s="31"/>
      <c r="K204" s="31"/>
      <c r="L204" s="31"/>
      <c r="M204" s="31"/>
    </row>
    <row r="205">
      <c r="H205" s="31"/>
      <c r="I205" s="31"/>
      <c r="K205" s="31"/>
      <c r="L205" s="31"/>
      <c r="M205" s="31"/>
    </row>
    <row r="206">
      <c r="H206" s="31"/>
      <c r="I206" s="31"/>
      <c r="K206" s="31"/>
      <c r="L206" s="31"/>
      <c r="M206" s="31"/>
    </row>
    <row r="207">
      <c r="H207" s="31"/>
      <c r="I207" s="31"/>
      <c r="K207" s="31"/>
      <c r="L207" s="31"/>
      <c r="M207" s="31"/>
    </row>
    <row r="208">
      <c r="H208" s="31"/>
      <c r="I208" s="31"/>
      <c r="K208" s="31"/>
      <c r="L208" s="31"/>
      <c r="M208" s="31"/>
    </row>
    <row r="209">
      <c r="H209" s="31"/>
      <c r="I209" s="31"/>
      <c r="K209" s="31"/>
      <c r="L209" s="31"/>
      <c r="M209" s="31"/>
    </row>
    <row r="210">
      <c r="H210" s="31"/>
      <c r="I210" s="31"/>
      <c r="K210" s="31"/>
      <c r="L210" s="31"/>
      <c r="M210" s="31"/>
    </row>
    <row r="211">
      <c r="H211" s="31"/>
      <c r="I211" s="31"/>
      <c r="K211" s="31"/>
      <c r="L211" s="31"/>
      <c r="M211" s="31"/>
    </row>
    <row r="212">
      <c r="H212" s="31"/>
      <c r="I212" s="31"/>
      <c r="K212" s="31"/>
      <c r="L212" s="31"/>
      <c r="M212" s="31"/>
    </row>
    <row r="213">
      <c r="H213" s="31"/>
      <c r="I213" s="31"/>
      <c r="K213" s="31"/>
      <c r="L213" s="31"/>
      <c r="M213" s="31"/>
    </row>
    <row r="214">
      <c r="H214" s="31"/>
      <c r="I214" s="31"/>
      <c r="K214" s="31"/>
      <c r="L214" s="31"/>
      <c r="M214" s="31"/>
    </row>
    <row r="215">
      <c r="H215" s="31"/>
      <c r="I215" s="31"/>
      <c r="K215" s="31"/>
      <c r="L215" s="31"/>
      <c r="M215" s="31"/>
    </row>
    <row r="216">
      <c r="H216" s="31"/>
      <c r="I216" s="31"/>
      <c r="K216" s="31"/>
      <c r="L216" s="31"/>
      <c r="M216" s="31"/>
    </row>
    <row r="217">
      <c r="H217" s="31"/>
      <c r="I217" s="31"/>
      <c r="K217" s="31"/>
      <c r="L217" s="31"/>
      <c r="M217" s="31"/>
    </row>
    <row r="218">
      <c r="H218" s="31"/>
      <c r="I218" s="31"/>
      <c r="K218" s="31"/>
      <c r="L218" s="31"/>
      <c r="M218" s="31"/>
    </row>
    <row r="219">
      <c r="H219" s="31"/>
      <c r="I219" s="31"/>
      <c r="K219" s="31"/>
      <c r="L219" s="31"/>
      <c r="M219" s="31"/>
    </row>
    <row r="220">
      <c r="H220" s="31"/>
      <c r="I220" s="31"/>
      <c r="K220" s="31"/>
      <c r="L220" s="31"/>
      <c r="M220" s="31"/>
    </row>
    <row r="221">
      <c r="H221" s="31"/>
      <c r="I221" s="31"/>
      <c r="K221" s="31"/>
      <c r="L221" s="31"/>
      <c r="M221" s="31"/>
    </row>
    <row r="222">
      <c r="H222" s="31"/>
      <c r="I222" s="31"/>
      <c r="K222" s="31"/>
      <c r="L222" s="31"/>
      <c r="M222" s="31"/>
    </row>
    <row r="223">
      <c r="H223" s="31"/>
      <c r="I223" s="31"/>
      <c r="K223" s="31"/>
      <c r="L223" s="31"/>
      <c r="M223" s="31"/>
    </row>
    <row r="224">
      <c r="H224" s="31"/>
      <c r="I224" s="31"/>
      <c r="K224" s="31"/>
      <c r="L224" s="31"/>
      <c r="M224" s="31"/>
    </row>
    <row r="225">
      <c r="H225" s="31"/>
      <c r="I225" s="31"/>
      <c r="K225" s="31"/>
      <c r="L225" s="31"/>
      <c r="M225" s="31"/>
    </row>
    <row r="226">
      <c r="H226" s="31"/>
      <c r="I226" s="31"/>
      <c r="K226" s="31"/>
      <c r="L226" s="31"/>
      <c r="M226" s="31"/>
    </row>
    <row r="227">
      <c r="H227" s="31"/>
      <c r="I227" s="31"/>
      <c r="K227" s="31"/>
      <c r="L227" s="31"/>
      <c r="M227" s="31"/>
    </row>
    <row r="228">
      <c r="H228" s="31"/>
      <c r="I228" s="31"/>
      <c r="K228" s="31"/>
      <c r="L228" s="31"/>
      <c r="M228" s="31"/>
    </row>
    <row r="229">
      <c r="H229" s="31"/>
      <c r="I229" s="31"/>
      <c r="K229" s="31"/>
      <c r="L229" s="31"/>
      <c r="M229" s="31"/>
    </row>
    <row r="230">
      <c r="H230" s="31"/>
      <c r="I230" s="31"/>
      <c r="K230" s="31"/>
      <c r="L230" s="31"/>
      <c r="M230" s="31"/>
    </row>
    <row r="231">
      <c r="H231" s="31"/>
      <c r="I231" s="31"/>
      <c r="K231" s="31"/>
      <c r="L231" s="31"/>
      <c r="M231" s="31"/>
    </row>
    <row r="232">
      <c r="H232" s="31"/>
      <c r="I232" s="31"/>
      <c r="K232" s="31"/>
      <c r="L232" s="31"/>
      <c r="M232" s="31"/>
    </row>
    <row r="233">
      <c r="H233" s="31"/>
      <c r="I233" s="31"/>
      <c r="K233" s="31"/>
      <c r="L233" s="31"/>
      <c r="M233" s="31"/>
    </row>
    <row r="234">
      <c r="H234" s="31"/>
      <c r="I234" s="31"/>
      <c r="K234" s="31"/>
      <c r="L234" s="31"/>
      <c r="M234" s="31"/>
    </row>
    <row r="235">
      <c r="H235" s="31"/>
      <c r="I235" s="31"/>
      <c r="K235" s="31"/>
      <c r="L235" s="31"/>
      <c r="M235" s="31"/>
    </row>
    <row r="236">
      <c r="H236" s="31"/>
      <c r="I236" s="31"/>
      <c r="K236" s="31"/>
      <c r="L236" s="31"/>
      <c r="M236" s="31"/>
    </row>
    <row r="237">
      <c r="H237" s="31"/>
      <c r="I237" s="31"/>
      <c r="K237" s="31"/>
      <c r="L237" s="31"/>
      <c r="M237" s="31"/>
    </row>
    <row r="238">
      <c r="H238" s="31"/>
      <c r="I238" s="31"/>
      <c r="K238" s="31"/>
      <c r="L238" s="31"/>
      <c r="M238" s="31"/>
    </row>
    <row r="239">
      <c r="H239" s="31"/>
      <c r="I239" s="31"/>
      <c r="K239" s="31"/>
      <c r="L239" s="31"/>
      <c r="M239" s="31"/>
    </row>
    <row r="240">
      <c r="H240" s="31"/>
      <c r="I240" s="31"/>
      <c r="K240" s="31"/>
      <c r="L240" s="31"/>
      <c r="M240" s="31"/>
    </row>
    <row r="241">
      <c r="H241" s="31"/>
      <c r="I241" s="31"/>
      <c r="K241" s="31"/>
      <c r="L241" s="31"/>
      <c r="M241" s="31"/>
    </row>
    <row r="242">
      <c r="H242" s="31"/>
      <c r="I242" s="31"/>
      <c r="K242" s="31"/>
      <c r="L242" s="31"/>
      <c r="M242" s="31"/>
    </row>
    <row r="243">
      <c r="H243" s="31"/>
      <c r="I243" s="31"/>
      <c r="K243" s="31"/>
      <c r="L243" s="31"/>
      <c r="M243" s="31"/>
    </row>
    <row r="244">
      <c r="H244" s="31"/>
      <c r="I244" s="31"/>
      <c r="K244" s="31"/>
      <c r="L244" s="31"/>
      <c r="M244" s="31"/>
    </row>
    <row r="245">
      <c r="H245" s="31"/>
      <c r="I245" s="31"/>
      <c r="K245" s="31"/>
      <c r="L245" s="31"/>
      <c r="M245" s="31"/>
    </row>
    <row r="246">
      <c r="H246" s="31"/>
      <c r="I246" s="31"/>
      <c r="K246" s="31"/>
      <c r="L246" s="31"/>
      <c r="M246" s="31"/>
    </row>
    <row r="247">
      <c r="H247" s="31"/>
      <c r="I247" s="31"/>
      <c r="K247" s="31"/>
      <c r="L247" s="31"/>
      <c r="M247" s="31"/>
    </row>
    <row r="248">
      <c r="H248" s="31"/>
      <c r="I248" s="31"/>
      <c r="K248" s="31"/>
      <c r="L248" s="31"/>
      <c r="M248" s="31"/>
    </row>
    <row r="249">
      <c r="H249" s="31"/>
      <c r="I249" s="31"/>
      <c r="K249" s="31"/>
      <c r="L249" s="31"/>
      <c r="M249" s="31"/>
    </row>
    <row r="250">
      <c r="H250" s="31"/>
      <c r="I250" s="31"/>
      <c r="K250" s="31"/>
      <c r="L250" s="31"/>
      <c r="M250" s="31"/>
    </row>
    <row r="251">
      <c r="H251" s="31"/>
      <c r="I251" s="31"/>
      <c r="K251" s="31"/>
      <c r="L251" s="31"/>
      <c r="M251" s="31"/>
    </row>
    <row r="252">
      <c r="H252" s="31"/>
      <c r="I252" s="31"/>
      <c r="K252" s="31"/>
      <c r="L252" s="31"/>
      <c r="M252" s="31"/>
    </row>
    <row r="253">
      <c r="H253" s="31"/>
      <c r="I253" s="31"/>
      <c r="K253" s="31"/>
      <c r="L253" s="31"/>
      <c r="M253" s="31"/>
    </row>
    <row r="254">
      <c r="H254" s="31"/>
      <c r="I254" s="31"/>
      <c r="K254" s="31"/>
      <c r="L254" s="31"/>
      <c r="M254" s="31"/>
    </row>
    <row r="255">
      <c r="H255" s="31"/>
      <c r="I255" s="31"/>
      <c r="K255" s="31"/>
      <c r="L255" s="31"/>
      <c r="M255" s="31"/>
    </row>
    <row r="256">
      <c r="H256" s="31"/>
      <c r="I256" s="31"/>
      <c r="K256" s="31"/>
      <c r="L256" s="31"/>
      <c r="M256" s="31"/>
    </row>
    <row r="257">
      <c r="H257" s="31"/>
      <c r="I257" s="31"/>
      <c r="K257" s="31"/>
      <c r="L257" s="31"/>
      <c r="M257" s="31"/>
    </row>
    <row r="258">
      <c r="H258" s="31"/>
      <c r="I258" s="31"/>
      <c r="K258" s="31"/>
      <c r="L258" s="31"/>
      <c r="M258" s="31"/>
    </row>
    <row r="259">
      <c r="H259" s="31"/>
      <c r="I259" s="31"/>
      <c r="K259" s="31"/>
      <c r="L259" s="31"/>
      <c r="M259" s="31"/>
    </row>
    <row r="260">
      <c r="H260" s="31"/>
      <c r="I260" s="31"/>
      <c r="K260" s="31"/>
      <c r="L260" s="31"/>
      <c r="M260" s="31"/>
    </row>
    <row r="261">
      <c r="H261" s="31"/>
      <c r="I261" s="31"/>
      <c r="K261" s="31"/>
      <c r="L261" s="31"/>
      <c r="M261" s="31"/>
    </row>
    <row r="262">
      <c r="H262" s="31"/>
      <c r="I262" s="31"/>
      <c r="K262" s="31"/>
      <c r="L262" s="31"/>
      <c r="M262" s="31"/>
    </row>
    <row r="263">
      <c r="H263" s="31"/>
      <c r="I263" s="31"/>
      <c r="K263" s="31"/>
      <c r="L263" s="31"/>
      <c r="M263" s="31"/>
    </row>
    <row r="264">
      <c r="H264" s="31"/>
      <c r="I264" s="31"/>
      <c r="K264" s="31"/>
      <c r="L264" s="31"/>
      <c r="M264" s="31"/>
    </row>
    <row r="265">
      <c r="H265" s="31"/>
      <c r="I265" s="31"/>
      <c r="K265" s="31"/>
      <c r="L265" s="31"/>
      <c r="M265" s="31"/>
    </row>
    <row r="266">
      <c r="H266" s="31"/>
      <c r="I266" s="31"/>
      <c r="K266" s="31"/>
      <c r="L266" s="31"/>
      <c r="M266" s="31"/>
    </row>
    <row r="267">
      <c r="H267" s="31"/>
      <c r="I267" s="31"/>
      <c r="K267" s="31"/>
      <c r="L267" s="31"/>
      <c r="M267" s="31"/>
    </row>
    <row r="268">
      <c r="H268" s="31"/>
      <c r="I268" s="31"/>
      <c r="K268" s="31"/>
      <c r="L268" s="31"/>
      <c r="M268" s="31"/>
    </row>
    <row r="269">
      <c r="H269" s="31"/>
      <c r="I269" s="31"/>
      <c r="K269" s="31"/>
      <c r="L269" s="31"/>
      <c r="M269" s="31"/>
    </row>
    <row r="270">
      <c r="H270" s="31"/>
      <c r="I270" s="31"/>
      <c r="K270" s="31"/>
      <c r="L270" s="31"/>
      <c r="M270" s="31"/>
    </row>
    <row r="271">
      <c r="H271" s="31"/>
      <c r="I271" s="31"/>
      <c r="K271" s="31"/>
      <c r="L271" s="31"/>
      <c r="M271" s="31"/>
    </row>
    <row r="272">
      <c r="H272" s="31"/>
      <c r="I272" s="31"/>
      <c r="K272" s="31"/>
      <c r="L272" s="31"/>
      <c r="M272" s="31"/>
    </row>
    <row r="273">
      <c r="H273" s="31"/>
      <c r="I273" s="31"/>
      <c r="K273" s="31"/>
      <c r="L273" s="31"/>
      <c r="M273" s="31"/>
    </row>
    <row r="274">
      <c r="H274" s="31"/>
      <c r="I274" s="31"/>
      <c r="K274" s="31"/>
      <c r="L274" s="31"/>
      <c r="M274" s="31"/>
    </row>
    <row r="275">
      <c r="H275" s="31"/>
      <c r="I275" s="31"/>
      <c r="K275" s="31"/>
      <c r="L275" s="31"/>
      <c r="M275" s="31"/>
    </row>
    <row r="276">
      <c r="H276" s="31"/>
      <c r="I276" s="31"/>
      <c r="K276" s="31"/>
      <c r="L276" s="31"/>
      <c r="M276" s="31"/>
    </row>
    <row r="277">
      <c r="H277" s="31"/>
      <c r="I277" s="31"/>
      <c r="K277" s="31"/>
      <c r="L277" s="31"/>
      <c r="M277" s="31"/>
    </row>
    <row r="278">
      <c r="H278" s="31"/>
      <c r="I278" s="31"/>
      <c r="K278" s="31"/>
      <c r="L278" s="31"/>
      <c r="M278" s="31"/>
    </row>
    <row r="279">
      <c r="H279" s="31"/>
      <c r="I279" s="31"/>
      <c r="K279" s="31"/>
      <c r="L279" s="31"/>
      <c r="M279" s="31"/>
    </row>
    <row r="280">
      <c r="H280" s="31"/>
      <c r="I280" s="31"/>
      <c r="K280" s="31"/>
      <c r="L280" s="31"/>
      <c r="M280" s="31"/>
    </row>
    <row r="281">
      <c r="H281" s="31"/>
      <c r="I281" s="31"/>
      <c r="K281" s="31"/>
      <c r="L281" s="31"/>
      <c r="M281" s="31"/>
    </row>
    <row r="282">
      <c r="H282" s="31"/>
      <c r="I282" s="31"/>
      <c r="K282" s="31"/>
      <c r="L282" s="31"/>
      <c r="M282" s="31"/>
    </row>
    <row r="283">
      <c r="H283" s="31"/>
      <c r="I283" s="31"/>
      <c r="K283" s="31"/>
      <c r="L283" s="31"/>
      <c r="M283" s="31"/>
    </row>
    <row r="284">
      <c r="H284" s="31"/>
      <c r="I284" s="31"/>
      <c r="K284" s="31"/>
      <c r="L284" s="31"/>
      <c r="M284" s="31"/>
    </row>
    <row r="285">
      <c r="H285" s="31"/>
      <c r="I285" s="31"/>
      <c r="K285" s="31"/>
      <c r="L285" s="31"/>
      <c r="M285" s="31"/>
    </row>
    <row r="286">
      <c r="H286" s="31"/>
      <c r="I286" s="31"/>
      <c r="K286" s="31"/>
      <c r="L286" s="31"/>
      <c r="M286" s="31"/>
    </row>
    <row r="287">
      <c r="H287" s="31"/>
      <c r="I287" s="31"/>
      <c r="K287" s="31"/>
      <c r="L287" s="31"/>
      <c r="M287" s="31"/>
    </row>
    <row r="288">
      <c r="H288" s="31"/>
      <c r="I288" s="31"/>
      <c r="K288" s="31"/>
      <c r="L288" s="31"/>
      <c r="M288" s="31"/>
    </row>
    <row r="289">
      <c r="H289" s="31"/>
      <c r="I289" s="31"/>
      <c r="K289" s="31"/>
      <c r="L289" s="31"/>
      <c r="M289" s="31"/>
    </row>
    <row r="290">
      <c r="H290" s="31"/>
      <c r="I290" s="31"/>
      <c r="K290" s="31"/>
      <c r="L290" s="31"/>
      <c r="M290" s="31"/>
    </row>
    <row r="291">
      <c r="H291" s="31"/>
      <c r="I291" s="31"/>
      <c r="K291" s="31"/>
      <c r="L291" s="31"/>
      <c r="M291" s="31"/>
    </row>
    <row r="292">
      <c r="H292" s="31"/>
      <c r="I292" s="31"/>
      <c r="K292" s="31"/>
      <c r="L292" s="31"/>
      <c r="M292" s="31"/>
    </row>
    <row r="293">
      <c r="H293" s="31"/>
      <c r="I293" s="31"/>
      <c r="K293" s="31"/>
      <c r="L293" s="31"/>
      <c r="M293" s="31"/>
    </row>
    <row r="294">
      <c r="H294" s="31"/>
      <c r="I294" s="31"/>
      <c r="K294" s="31"/>
      <c r="L294" s="31"/>
      <c r="M294" s="31"/>
    </row>
    <row r="295">
      <c r="H295" s="31"/>
      <c r="I295" s="31"/>
      <c r="K295" s="31"/>
      <c r="L295" s="31"/>
      <c r="M295" s="31"/>
    </row>
    <row r="296">
      <c r="H296" s="31"/>
      <c r="I296" s="31"/>
      <c r="K296" s="31"/>
      <c r="L296" s="31"/>
      <c r="M296" s="31"/>
    </row>
    <row r="297">
      <c r="H297" s="31"/>
      <c r="I297" s="31"/>
      <c r="K297" s="31"/>
      <c r="L297" s="31"/>
      <c r="M297" s="31"/>
    </row>
    <row r="298">
      <c r="H298" s="31"/>
      <c r="I298" s="31"/>
      <c r="K298" s="31"/>
      <c r="L298" s="31"/>
      <c r="M298" s="31"/>
    </row>
    <row r="299">
      <c r="H299" s="31"/>
      <c r="I299" s="31"/>
      <c r="K299" s="31"/>
      <c r="L299" s="31"/>
      <c r="M299" s="31"/>
    </row>
    <row r="300">
      <c r="H300" s="31"/>
      <c r="I300" s="31"/>
      <c r="K300" s="31"/>
      <c r="L300" s="31"/>
      <c r="M300" s="31"/>
    </row>
    <row r="301">
      <c r="H301" s="31"/>
      <c r="I301" s="31"/>
      <c r="K301" s="31"/>
      <c r="L301" s="31"/>
      <c r="M301" s="31"/>
    </row>
    <row r="302">
      <c r="H302" s="31"/>
      <c r="I302" s="31"/>
      <c r="K302" s="31"/>
      <c r="L302" s="31"/>
      <c r="M302" s="31"/>
    </row>
    <row r="303">
      <c r="H303" s="31"/>
      <c r="I303" s="31"/>
      <c r="K303" s="31"/>
      <c r="L303" s="31"/>
      <c r="M303" s="31"/>
    </row>
    <row r="304">
      <c r="H304" s="31"/>
      <c r="I304" s="31"/>
      <c r="K304" s="31"/>
      <c r="L304" s="31"/>
      <c r="M304" s="31"/>
    </row>
    <row r="305">
      <c r="H305" s="31"/>
      <c r="I305" s="31"/>
      <c r="K305" s="31"/>
      <c r="L305" s="31"/>
      <c r="M305" s="31"/>
    </row>
    <row r="306">
      <c r="H306" s="31"/>
      <c r="I306" s="31"/>
      <c r="K306" s="31"/>
      <c r="L306" s="31"/>
      <c r="M306" s="31"/>
    </row>
    <row r="307">
      <c r="H307" s="31"/>
      <c r="I307" s="31"/>
      <c r="K307" s="31"/>
      <c r="L307" s="31"/>
      <c r="M307" s="31"/>
    </row>
    <row r="308">
      <c r="H308" s="31"/>
      <c r="I308" s="31"/>
      <c r="K308" s="31"/>
      <c r="L308" s="31"/>
      <c r="M308" s="31"/>
    </row>
    <row r="309">
      <c r="H309" s="31"/>
      <c r="I309" s="31"/>
      <c r="K309" s="31"/>
      <c r="L309" s="31"/>
      <c r="M309" s="31"/>
    </row>
    <row r="310">
      <c r="H310" s="31"/>
      <c r="I310" s="31"/>
      <c r="K310" s="31"/>
      <c r="L310" s="31"/>
      <c r="M310" s="31"/>
    </row>
    <row r="311">
      <c r="H311" s="31"/>
      <c r="I311" s="31"/>
      <c r="K311" s="31"/>
      <c r="L311" s="31"/>
      <c r="M311" s="31"/>
    </row>
    <row r="312">
      <c r="H312" s="31"/>
      <c r="I312" s="31"/>
      <c r="K312" s="31"/>
      <c r="L312" s="31"/>
      <c r="M312" s="31"/>
    </row>
    <row r="313">
      <c r="H313" s="31"/>
      <c r="I313" s="31"/>
      <c r="K313" s="31"/>
      <c r="L313" s="31"/>
      <c r="M313" s="31"/>
    </row>
    <row r="314">
      <c r="H314" s="31"/>
      <c r="I314" s="31"/>
      <c r="K314" s="31"/>
      <c r="L314" s="31"/>
      <c r="M314" s="31"/>
    </row>
    <row r="315">
      <c r="H315" s="31"/>
      <c r="I315" s="31"/>
      <c r="K315" s="31"/>
      <c r="L315" s="31"/>
      <c r="M315" s="31"/>
    </row>
    <row r="316">
      <c r="H316" s="31"/>
      <c r="I316" s="31"/>
      <c r="K316" s="31"/>
      <c r="L316" s="31"/>
      <c r="M316" s="31"/>
    </row>
    <row r="317">
      <c r="H317" s="31"/>
      <c r="I317" s="31"/>
      <c r="K317" s="31"/>
      <c r="L317" s="31"/>
      <c r="M317" s="31"/>
    </row>
    <row r="318">
      <c r="H318" s="31"/>
      <c r="I318" s="31"/>
      <c r="K318" s="31"/>
      <c r="L318" s="31"/>
      <c r="M318" s="31"/>
    </row>
    <row r="319">
      <c r="H319" s="31"/>
      <c r="I319" s="31"/>
      <c r="K319" s="31"/>
      <c r="L319" s="31"/>
      <c r="M319" s="31"/>
    </row>
    <row r="320">
      <c r="H320" s="31"/>
      <c r="I320" s="31"/>
      <c r="K320" s="31"/>
      <c r="L320" s="31"/>
      <c r="M320" s="31"/>
    </row>
    <row r="321">
      <c r="H321" s="31"/>
      <c r="I321" s="31"/>
      <c r="K321" s="31"/>
      <c r="L321" s="31"/>
      <c r="M321" s="31"/>
    </row>
    <row r="322">
      <c r="H322" s="31"/>
      <c r="I322" s="31"/>
      <c r="K322" s="31"/>
      <c r="L322" s="31"/>
      <c r="M322" s="31"/>
    </row>
    <row r="323">
      <c r="H323" s="31"/>
      <c r="I323" s="31"/>
      <c r="K323" s="31"/>
      <c r="L323" s="31"/>
      <c r="M323" s="31"/>
    </row>
    <row r="324">
      <c r="H324" s="31"/>
      <c r="I324" s="31"/>
      <c r="K324" s="31"/>
      <c r="L324" s="31"/>
      <c r="M324" s="31"/>
    </row>
    <row r="325">
      <c r="H325" s="31"/>
      <c r="I325" s="31"/>
      <c r="K325" s="31"/>
      <c r="L325" s="31"/>
      <c r="M325" s="31"/>
    </row>
    <row r="326">
      <c r="H326" s="31"/>
      <c r="I326" s="31"/>
      <c r="K326" s="31"/>
      <c r="L326" s="31"/>
      <c r="M326" s="31"/>
    </row>
    <row r="327">
      <c r="H327" s="31"/>
      <c r="I327" s="31"/>
      <c r="K327" s="31"/>
      <c r="L327" s="31"/>
      <c r="M327" s="31"/>
    </row>
    <row r="328">
      <c r="H328" s="31"/>
      <c r="I328" s="31"/>
      <c r="K328" s="31"/>
      <c r="L328" s="31"/>
      <c r="M328" s="31"/>
    </row>
    <row r="329">
      <c r="H329" s="31"/>
      <c r="I329" s="31"/>
      <c r="K329" s="31"/>
      <c r="L329" s="31"/>
      <c r="M329" s="31"/>
    </row>
    <row r="330">
      <c r="H330" s="31"/>
      <c r="I330" s="31"/>
      <c r="K330" s="31"/>
      <c r="L330" s="31"/>
      <c r="M330" s="31"/>
    </row>
    <row r="331">
      <c r="H331" s="31"/>
      <c r="I331" s="31"/>
      <c r="K331" s="31"/>
      <c r="L331" s="31"/>
      <c r="M331" s="31"/>
    </row>
    <row r="332">
      <c r="H332" s="31"/>
      <c r="I332" s="31"/>
      <c r="K332" s="31"/>
      <c r="L332" s="31"/>
      <c r="M332" s="31"/>
    </row>
    <row r="333">
      <c r="H333" s="31"/>
      <c r="I333" s="31"/>
      <c r="K333" s="31"/>
      <c r="L333" s="31"/>
      <c r="M333" s="31"/>
    </row>
    <row r="334">
      <c r="H334" s="31"/>
      <c r="I334" s="31"/>
      <c r="K334" s="31"/>
      <c r="L334" s="31"/>
      <c r="M334" s="31"/>
    </row>
    <row r="335">
      <c r="H335" s="31"/>
      <c r="I335" s="31"/>
      <c r="K335" s="31"/>
      <c r="L335" s="31"/>
      <c r="M335" s="31"/>
    </row>
    <row r="336">
      <c r="H336" s="31"/>
      <c r="I336" s="31"/>
      <c r="K336" s="31"/>
      <c r="L336" s="31"/>
      <c r="M336" s="31"/>
    </row>
    <row r="337">
      <c r="H337" s="31"/>
      <c r="I337" s="31"/>
      <c r="K337" s="31"/>
      <c r="L337" s="31"/>
      <c r="M337" s="31"/>
    </row>
    <row r="338">
      <c r="H338" s="31"/>
      <c r="I338" s="31"/>
      <c r="K338" s="31"/>
      <c r="L338" s="31"/>
      <c r="M338" s="31"/>
    </row>
    <row r="339">
      <c r="H339" s="31"/>
      <c r="I339" s="31"/>
      <c r="K339" s="31"/>
      <c r="L339" s="31"/>
      <c r="M339" s="31"/>
    </row>
    <row r="340">
      <c r="H340" s="31"/>
      <c r="I340" s="31"/>
      <c r="K340" s="31"/>
      <c r="L340" s="31"/>
      <c r="M340" s="31"/>
    </row>
    <row r="341">
      <c r="H341" s="31"/>
      <c r="I341" s="31"/>
      <c r="K341" s="31"/>
      <c r="L341" s="31"/>
      <c r="M341" s="31"/>
    </row>
    <row r="342">
      <c r="H342" s="31"/>
      <c r="I342" s="31"/>
      <c r="K342" s="31"/>
      <c r="L342" s="31"/>
      <c r="M342" s="31"/>
    </row>
    <row r="343">
      <c r="H343" s="31"/>
      <c r="I343" s="31"/>
      <c r="K343" s="31"/>
      <c r="L343" s="31"/>
      <c r="M343" s="31"/>
    </row>
    <row r="344">
      <c r="H344" s="31"/>
      <c r="I344" s="31"/>
      <c r="K344" s="31"/>
      <c r="L344" s="31"/>
      <c r="M344" s="31"/>
    </row>
    <row r="345">
      <c r="H345" s="31"/>
      <c r="I345" s="31"/>
      <c r="K345" s="31"/>
      <c r="L345" s="31"/>
      <c r="M345" s="31"/>
    </row>
    <row r="346">
      <c r="H346" s="31"/>
      <c r="I346" s="31"/>
      <c r="K346" s="31"/>
      <c r="L346" s="31"/>
      <c r="M346" s="31"/>
    </row>
    <row r="347">
      <c r="H347" s="31"/>
      <c r="I347" s="31"/>
      <c r="K347" s="31"/>
      <c r="L347" s="31"/>
      <c r="M347" s="31"/>
    </row>
    <row r="348">
      <c r="H348" s="31"/>
      <c r="I348" s="31"/>
      <c r="K348" s="31"/>
      <c r="L348" s="31"/>
      <c r="M348" s="31"/>
    </row>
    <row r="349">
      <c r="H349" s="31"/>
      <c r="I349" s="31"/>
      <c r="K349" s="31"/>
      <c r="L349" s="31"/>
      <c r="M349" s="31"/>
    </row>
    <row r="350">
      <c r="H350" s="31"/>
      <c r="I350" s="31"/>
      <c r="K350" s="31"/>
      <c r="L350" s="31"/>
      <c r="M350" s="31"/>
    </row>
    <row r="351">
      <c r="H351" s="31"/>
      <c r="I351" s="31"/>
      <c r="K351" s="31"/>
      <c r="L351" s="31"/>
      <c r="M351" s="31"/>
    </row>
    <row r="352">
      <c r="H352" s="31"/>
      <c r="I352" s="31"/>
      <c r="K352" s="31"/>
      <c r="L352" s="31"/>
      <c r="M352" s="31"/>
    </row>
    <row r="353">
      <c r="H353" s="31"/>
      <c r="I353" s="31"/>
      <c r="K353" s="31"/>
      <c r="L353" s="31"/>
      <c r="M353" s="31"/>
    </row>
    <row r="354">
      <c r="H354" s="31"/>
      <c r="I354" s="31"/>
      <c r="K354" s="31"/>
      <c r="L354" s="31"/>
      <c r="M354" s="31"/>
    </row>
    <row r="355">
      <c r="H355" s="31"/>
      <c r="I355" s="31"/>
      <c r="K355" s="31"/>
      <c r="L355" s="31"/>
      <c r="M355" s="31"/>
    </row>
    <row r="356">
      <c r="H356" s="31"/>
      <c r="I356" s="31"/>
      <c r="K356" s="31"/>
      <c r="L356" s="31"/>
      <c r="M356" s="31"/>
    </row>
    <row r="357">
      <c r="H357" s="31"/>
      <c r="I357" s="31"/>
      <c r="K357" s="31"/>
      <c r="L357" s="31"/>
      <c r="M357" s="31"/>
    </row>
    <row r="358">
      <c r="H358" s="31"/>
      <c r="I358" s="31"/>
      <c r="K358" s="31"/>
      <c r="L358" s="31"/>
      <c r="M358" s="31"/>
    </row>
    <row r="359">
      <c r="H359" s="31"/>
      <c r="I359" s="31"/>
      <c r="K359" s="31"/>
      <c r="L359" s="31"/>
      <c r="M359" s="31"/>
    </row>
    <row r="360">
      <c r="H360" s="31"/>
      <c r="I360" s="31"/>
      <c r="K360" s="31"/>
      <c r="L360" s="31"/>
      <c r="M360" s="31"/>
    </row>
    <row r="361">
      <c r="H361" s="31"/>
      <c r="I361" s="31"/>
      <c r="K361" s="31"/>
      <c r="L361" s="31"/>
      <c r="M361" s="31"/>
    </row>
    <row r="362">
      <c r="H362" s="31"/>
      <c r="I362" s="31"/>
      <c r="K362" s="31"/>
      <c r="L362" s="31"/>
      <c r="M362" s="31"/>
    </row>
    <row r="363">
      <c r="H363" s="31"/>
      <c r="I363" s="31"/>
      <c r="K363" s="31"/>
      <c r="L363" s="31"/>
      <c r="M363" s="31"/>
    </row>
    <row r="364">
      <c r="H364" s="31"/>
      <c r="I364" s="31"/>
      <c r="K364" s="31"/>
      <c r="L364" s="31"/>
      <c r="M364" s="31"/>
    </row>
    <row r="365">
      <c r="H365" s="31"/>
      <c r="I365" s="31"/>
      <c r="K365" s="31"/>
      <c r="L365" s="31"/>
      <c r="M365" s="31"/>
    </row>
    <row r="366">
      <c r="H366" s="31"/>
      <c r="I366" s="31"/>
      <c r="K366" s="31"/>
      <c r="L366" s="31"/>
      <c r="M366" s="31"/>
    </row>
    <row r="367">
      <c r="H367" s="31"/>
      <c r="I367" s="31"/>
      <c r="K367" s="31"/>
      <c r="L367" s="31"/>
      <c r="M367" s="31"/>
    </row>
    <row r="368">
      <c r="H368" s="31"/>
      <c r="I368" s="31"/>
      <c r="K368" s="31"/>
      <c r="L368" s="31"/>
      <c r="M368" s="31"/>
    </row>
    <row r="369">
      <c r="H369" s="31"/>
      <c r="I369" s="31"/>
      <c r="K369" s="31"/>
      <c r="L369" s="31"/>
      <c r="M369" s="31"/>
    </row>
    <row r="370">
      <c r="H370" s="31"/>
      <c r="I370" s="31"/>
      <c r="K370" s="31"/>
      <c r="L370" s="31"/>
      <c r="M370" s="31"/>
    </row>
    <row r="371">
      <c r="H371" s="31"/>
      <c r="I371" s="31"/>
      <c r="K371" s="31"/>
      <c r="L371" s="31"/>
      <c r="M371" s="31"/>
    </row>
    <row r="372">
      <c r="H372" s="31"/>
      <c r="I372" s="31"/>
      <c r="K372" s="31"/>
      <c r="L372" s="31"/>
      <c r="M372" s="31"/>
    </row>
    <row r="373">
      <c r="H373" s="31"/>
      <c r="I373" s="31"/>
      <c r="K373" s="31"/>
      <c r="L373" s="31"/>
      <c r="M373" s="31"/>
    </row>
    <row r="374">
      <c r="H374" s="31"/>
      <c r="I374" s="31"/>
      <c r="K374" s="31"/>
      <c r="L374" s="31"/>
      <c r="M374" s="31"/>
    </row>
    <row r="375">
      <c r="H375" s="31"/>
      <c r="I375" s="31"/>
      <c r="K375" s="31"/>
      <c r="L375" s="31"/>
      <c r="M375" s="31"/>
    </row>
    <row r="376">
      <c r="H376" s="31"/>
      <c r="I376" s="31"/>
      <c r="K376" s="31"/>
      <c r="L376" s="31"/>
      <c r="M376" s="31"/>
    </row>
    <row r="377">
      <c r="H377" s="31"/>
      <c r="I377" s="31"/>
      <c r="K377" s="31"/>
      <c r="L377" s="31"/>
      <c r="M377" s="31"/>
    </row>
    <row r="378">
      <c r="H378" s="31"/>
      <c r="I378" s="31"/>
      <c r="K378" s="31"/>
      <c r="L378" s="31"/>
      <c r="M378" s="31"/>
    </row>
    <row r="379">
      <c r="H379" s="31"/>
      <c r="I379" s="31"/>
      <c r="K379" s="31"/>
      <c r="L379" s="31"/>
      <c r="M379" s="31"/>
    </row>
    <row r="380">
      <c r="H380" s="31"/>
      <c r="I380" s="31"/>
      <c r="K380" s="31"/>
      <c r="L380" s="31"/>
      <c r="M380" s="31"/>
    </row>
    <row r="381">
      <c r="H381" s="31"/>
      <c r="I381" s="31"/>
      <c r="K381" s="31"/>
      <c r="L381" s="31"/>
      <c r="M381" s="31"/>
    </row>
    <row r="382">
      <c r="H382" s="31"/>
      <c r="I382" s="31"/>
      <c r="K382" s="31"/>
      <c r="L382" s="31"/>
      <c r="M382" s="31"/>
    </row>
    <row r="383">
      <c r="H383" s="31"/>
      <c r="I383" s="31"/>
      <c r="K383" s="31"/>
      <c r="L383" s="31"/>
      <c r="M383" s="31"/>
    </row>
    <row r="384">
      <c r="H384" s="31"/>
      <c r="I384" s="31"/>
      <c r="K384" s="31"/>
      <c r="L384" s="31"/>
      <c r="M384" s="31"/>
    </row>
    <row r="385">
      <c r="H385" s="31"/>
      <c r="I385" s="31"/>
      <c r="K385" s="31"/>
      <c r="L385" s="31"/>
      <c r="M385" s="31"/>
    </row>
    <row r="386">
      <c r="H386" s="31"/>
      <c r="I386" s="31"/>
      <c r="K386" s="31"/>
      <c r="L386" s="31"/>
      <c r="M386" s="31"/>
    </row>
    <row r="387">
      <c r="H387" s="31"/>
      <c r="I387" s="31"/>
      <c r="K387" s="31"/>
      <c r="L387" s="31"/>
      <c r="M387" s="31"/>
    </row>
    <row r="388">
      <c r="H388" s="31"/>
      <c r="I388" s="31"/>
      <c r="K388" s="31"/>
      <c r="L388" s="31"/>
      <c r="M388" s="31"/>
    </row>
    <row r="389">
      <c r="H389" s="31"/>
      <c r="I389" s="31"/>
      <c r="K389" s="31"/>
      <c r="L389" s="31"/>
      <c r="M389" s="31"/>
    </row>
    <row r="390">
      <c r="H390" s="31"/>
      <c r="I390" s="31"/>
      <c r="K390" s="31"/>
      <c r="L390" s="31"/>
      <c r="M390" s="31"/>
    </row>
    <row r="391">
      <c r="H391" s="31"/>
      <c r="I391" s="31"/>
      <c r="K391" s="31"/>
      <c r="L391" s="31"/>
      <c r="M391" s="31"/>
    </row>
    <row r="392">
      <c r="H392" s="31"/>
      <c r="I392" s="31"/>
      <c r="K392" s="31"/>
      <c r="L392" s="31"/>
      <c r="M392" s="31"/>
    </row>
    <row r="393">
      <c r="H393" s="31"/>
      <c r="I393" s="31"/>
      <c r="K393" s="31"/>
      <c r="L393" s="31"/>
      <c r="M393" s="31"/>
    </row>
    <row r="394">
      <c r="H394" s="31"/>
      <c r="I394" s="31"/>
      <c r="K394" s="31"/>
      <c r="L394" s="31"/>
      <c r="M394" s="31"/>
    </row>
    <row r="395">
      <c r="H395" s="31"/>
      <c r="I395" s="31"/>
      <c r="K395" s="31"/>
      <c r="L395" s="31"/>
      <c r="M395" s="31"/>
    </row>
    <row r="396">
      <c r="H396" s="31"/>
      <c r="I396" s="31"/>
      <c r="K396" s="31"/>
      <c r="L396" s="31"/>
      <c r="M396" s="31"/>
    </row>
    <row r="397">
      <c r="H397" s="31"/>
      <c r="I397" s="31"/>
      <c r="K397" s="31"/>
      <c r="L397" s="31"/>
      <c r="M397" s="31"/>
    </row>
    <row r="398">
      <c r="H398" s="31"/>
      <c r="I398" s="31"/>
      <c r="K398" s="31"/>
      <c r="L398" s="31"/>
      <c r="M398" s="31"/>
    </row>
    <row r="399">
      <c r="H399" s="31"/>
      <c r="I399" s="31"/>
      <c r="K399" s="31"/>
      <c r="L399" s="31"/>
      <c r="M399" s="31"/>
    </row>
    <row r="400">
      <c r="H400" s="31"/>
      <c r="I400" s="31"/>
      <c r="K400" s="31"/>
      <c r="L400" s="31"/>
      <c r="M400" s="31"/>
    </row>
    <row r="401">
      <c r="H401" s="31"/>
      <c r="I401" s="31"/>
      <c r="K401" s="31"/>
      <c r="L401" s="31"/>
      <c r="M401" s="31"/>
    </row>
    <row r="402">
      <c r="H402" s="31"/>
      <c r="I402" s="31"/>
      <c r="K402" s="31"/>
      <c r="L402" s="31"/>
      <c r="M402" s="31"/>
    </row>
    <row r="403">
      <c r="H403" s="31"/>
      <c r="I403" s="31"/>
      <c r="K403" s="31"/>
      <c r="L403" s="31"/>
      <c r="M403" s="31"/>
    </row>
    <row r="404">
      <c r="H404" s="31"/>
      <c r="I404" s="31"/>
      <c r="K404" s="31"/>
      <c r="L404" s="31"/>
      <c r="M404" s="31"/>
    </row>
    <row r="405">
      <c r="H405" s="31"/>
      <c r="I405" s="31"/>
      <c r="K405" s="31"/>
      <c r="L405" s="31"/>
      <c r="M405" s="31"/>
    </row>
    <row r="406">
      <c r="H406" s="31"/>
      <c r="I406" s="31"/>
      <c r="K406" s="31"/>
      <c r="L406" s="31"/>
      <c r="M406" s="31"/>
    </row>
    <row r="407">
      <c r="H407" s="31"/>
      <c r="I407" s="31"/>
      <c r="K407" s="31"/>
      <c r="L407" s="31"/>
      <c r="M407" s="31"/>
    </row>
    <row r="408">
      <c r="H408" s="31"/>
      <c r="I408" s="31"/>
      <c r="K408" s="31"/>
      <c r="L408" s="31"/>
      <c r="M408" s="31"/>
    </row>
    <row r="409">
      <c r="H409" s="31"/>
      <c r="I409" s="31"/>
      <c r="K409" s="31"/>
      <c r="L409" s="31"/>
      <c r="M409" s="31"/>
    </row>
    <row r="410">
      <c r="H410" s="31"/>
      <c r="I410" s="31"/>
      <c r="K410" s="31"/>
      <c r="L410" s="31"/>
      <c r="M410" s="31"/>
    </row>
    <row r="411">
      <c r="H411" s="31"/>
      <c r="I411" s="31"/>
      <c r="K411" s="31"/>
      <c r="L411" s="31"/>
      <c r="M411" s="31"/>
    </row>
    <row r="412">
      <c r="H412" s="31"/>
      <c r="I412" s="31"/>
      <c r="K412" s="31"/>
      <c r="L412" s="31"/>
      <c r="M412" s="31"/>
    </row>
    <row r="413">
      <c r="H413" s="31"/>
      <c r="I413" s="31"/>
      <c r="K413" s="31"/>
      <c r="L413" s="31"/>
      <c r="M413" s="31"/>
    </row>
    <row r="414">
      <c r="H414" s="31"/>
      <c r="I414" s="31"/>
      <c r="K414" s="31"/>
      <c r="L414" s="31"/>
      <c r="M414" s="31"/>
    </row>
    <row r="415">
      <c r="H415" s="31"/>
      <c r="I415" s="31"/>
      <c r="K415" s="31"/>
      <c r="L415" s="31"/>
      <c r="M415" s="31"/>
    </row>
    <row r="416">
      <c r="H416" s="31"/>
      <c r="I416" s="31"/>
      <c r="K416" s="31"/>
      <c r="L416" s="31"/>
      <c r="M416" s="31"/>
    </row>
    <row r="417">
      <c r="H417" s="31"/>
      <c r="I417" s="31"/>
      <c r="K417" s="31"/>
      <c r="L417" s="31"/>
      <c r="M417" s="31"/>
    </row>
    <row r="418">
      <c r="H418" s="31"/>
      <c r="I418" s="31"/>
      <c r="K418" s="31"/>
      <c r="L418" s="31"/>
      <c r="M418" s="31"/>
    </row>
    <row r="419">
      <c r="H419" s="31"/>
      <c r="I419" s="31"/>
      <c r="K419" s="31"/>
      <c r="L419" s="31"/>
      <c r="M419" s="31"/>
    </row>
    <row r="420">
      <c r="H420" s="31"/>
      <c r="I420" s="31"/>
      <c r="K420" s="31"/>
      <c r="L420" s="31"/>
      <c r="M420" s="31"/>
    </row>
    <row r="421">
      <c r="H421" s="31"/>
      <c r="I421" s="31"/>
      <c r="K421" s="31"/>
      <c r="L421" s="31"/>
      <c r="M421" s="31"/>
    </row>
    <row r="422">
      <c r="H422" s="31"/>
      <c r="I422" s="31"/>
      <c r="K422" s="31"/>
      <c r="L422" s="31"/>
      <c r="M422" s="31"/>
    </row>
    <row r="423">
      <c r="H423" s="31"/>
      <c r="I423" s="31"/>
      <c r="K423" s="31"/>
      <c r="L423" s="31"/>
      <c r="M423" s="31"/>
    </row>
    <row r="424">
      <c r="H424" s="31"/>
      <c r="I424" s="31"/>
      <c r="K424" s="31"/>
      <c r="L424" s="31"/>
      <c r="M424" s="31"/>
    </row>
    <row r="425">
      <c r="H425" s="31"/>
      <c r="I425" s="31"/>
      <c r="K425" s="31"/>
      <c r="L425" s="31"/>
      <c r="M425" s="31"/>
    </row>
    <row r="426">
      <c r="H426" s="31"/>
      <c r="I426" s="31"/>
      <c r="K426" s="31"/>
      <c r="L426" s="31"/>
      <c r="M426" s="31"/>
    </row>
    <row r="427">
      <c r="H427" s="31"/>
      <c r="I427" s="31"/>
      <c r="K427" s="31"/>
      <c r="L427" s="31"/>
      <c r="M427" s="31"/>
    </row>
    <row r="428">
      <c r="H428" s="31"/>
      <c r="I428" s="31"/>
      <c r="K428" s="31"/>
      <c r="L428" s="31"/>
      <c r="M428" s="31"/>
    </row>
    <row r="429">
      <c r="H429" s="31"/>
      <c r="I429" s="31"/>
      <c r="K429" s="31"/>
      <c r="L429" s="31"/>
      <c r="M429" s="31"/>
    </row>
    <row r="430">
      <c r="H430" s="31"/>
      <c r="I430" s="31"/>
      <c r="K430" s="31"/>
      <c r="L430" s="31"/>
      <c r="M430" s="31"/>
    </row>
    <row r="431">
      <c r="H431" s="31"/>
      <c r="I431" s="31"/>
      <c r="K431" s="31"/>
      <c r="L431" s="31"/>
      <c r="M431" s="31"/>
    </row>
    <row r="432">
      <c r="H432" s="31"/>
      <c r="I432" s="31"/>
      <c r="K432" s="31"/>
      <c r="L432" s="31"/>
      <c r="M432" s="31"/>
    </row>
    <row r="433">
      <c r="H433" s="31"/>
      <c r="I433" s="31"/>
      <c r="K433" s="31"/>
      <c r="L433" s="31"/>
      <c r="M433" s="31"/>
    </row>
    <row r="434">
      <c r="H434" s="31"/>
      <c r="I434" s="31"/>
      <c r="K434" s="31"/>
      <c r="L434" s="31"/>
      <c r="M434" s="31"/>
    </row>
    <row r="435">
      <c r="H435" s="31"/>
      <c r="I435" s="31"/>
      <c r="K435" s="31"/>
      <c r="L435" s="31"/>
      <c r="M435" s="31"/>
    </row>
    <row r="436">
      <c r="H436" s="31"/>
      <c r="I436" s="31"/>
      <c r="K436" s="31"/>
      <c r="L436" s="31"/>
      <c r="M436" s="31"/>
    </row>
    <row r="437">
      <c r="H437" s="31"/>
      <c r="I437" s="31"/>
      <c r="K437" s="31"/>
      <c r="L437" s="31"/>
      <c r="M437" s="31"/>
    </row>
    <row r="438">
      <c r="H438" s="31"/>
      <c r="I438" s="31"/>
      <c r="K438" s="31"/>
      <c r="L438" s="31"/>
      <c r="M438" s="31"/>
    </row>
    <row r="439">
      <c r="H439" s="31"/>
      <c r="I439" s="31"/>
      <c r="K439" s="31"/>
      <c r="L439" s="31"/>
      <c r="M439" s="31"/>
    </row>
    <row r="440">
      <c r="H440" s="31"/>
      <c r="I440" s="31"/>
      <c r="K440" s="31"/>
      <c r="L440" s="31"/>
      <c r="M440" s="31"/>
    </row>
    <row r="441">
      <c r="H441" s="31"/>
      <c r="I441" s="31"/>
      <c r="K441" s="31"/>
      <c r="L441" s="31"/>
      <c r="M441" s="31"/>
    </row>
    <row r="442">
      <c r="H442" s="31"/>
      <c r="I442" s="31"/>
      <c r="K442" s="31"/>
      <c r="L442" s="31"/>
      <c r="M442" s="31"/>
    </row>
    <row r="443">
      <c r="H443" s="31"/>
      <c r="I443" s="31"/>
      <c r="K443" s="31"/>
      <c r="L443" s="31"/>
      <c r="M443" s="31"/>
    </row>
    <row r="444">
      <c r="H444" s="31"/>
      <c r="I444" s="31"/>
      <c r="K444" s="31"/>
      <c r="L444" s="31"/>
      <c r="M444" s="31"/>
    </row>
    <row r="445">
      <c r="H445" s="31"/>
      <c r="I445" s="31"/>
      <c r="K445" s="31"/>
      <c r="L445" s="31"/>
      <c r="M445" s="31"/>
    </row>
    <row r="446">
      <c r="H446" s="31"/>
      <c r="I446" s="31"/>
      <c r="K446" s="31"/>
      <c r="L446" s="31"/>
      <c r="M446" s="31"/>
    </row>
    <row r="447">
      <c r="H447" s="31"/>
      <c r="I447" s="31"/>
      <c r="K447" s="31"/>
      <c r="L447" s="31"/>
      <c r="M447" s="31"/>
    </row>
    <row r="448">
      <c r="H448" s="31"/>
      <c r="I448" s="31"/>
      <c r="K448" s="31"/>
      <c r="L448" s="31"/>
      <c r="M448" s="31"/>
    </row>
    <row r="449">
      <c r="H449" s="31"/>
      <c r="I449" s="31"/>
      <c r="K449" s="31"/>
      <c r="L449" s="31"/>
      <c r="M449" s="31"/>
    </row>
    <row r="450">
      <c r="H450" s="31"/>
      <c r="I450" s="31"/>
      <c r="K450" s="31"/>
      <c r="L450" s="31"/>
      <c r="M450" s="31"/>
    </row>
    <row r="451">
      <c r="H451" s="31"/>
      <c r="I451" s="31"/>
      <c r="K451" s="31"/>
      <c r="L451" s="31"/>
      <c r="M451" s="31"/>
    </row>
    <row r="452">
      <c r="H452" s="31"/>
      <c r="I452" s="31"/>
      <c r="K452" s="31"/>
      <c r="L452" s="31"/>
      <c r="M452" s="31"/>
    </row>
    <row r="453">
      <c r="H453" s="31"/>
      <c r="I453" s="31"/>
      <c r="K453" s="31"/>
      <c r="L453" s="31"/>
      <c r="M453" s="31"/>
    </row>
    <row r="454">
      <c r="H454" s="31"/>
      <c r="I454" s="31"/>
      <c r="K454" s="31"/>
      <c r="L454" s="31"/>
      <c r="M454" s="31"/>
    </row>
    <row r="455">
      <c r="H455" s="31"/>
      <c r="I455" s="31"/>
      <c r="K455" s="31"/>
      <c r="L455" s="31"/>
      <c r="M455" s="31"/>
    </row>
    <row r="456">
      <c r="H456" s="31"/>
      <c r="I456" s="31"/>
      <c r="K456" s="31"/>
      <c r="L456" s="31"/>
      <c r="M456" s="31"/>
    </row>
    <row r="457">
      <c r="H457" s="31"/>
      <c r="I457" s="31"/>
      <c r="K457" s="31"/>
      <c r="L457" s="31"/>
      <c r="M457" s="31"/>
    </row>
    <row r="458">
      <c r="H458" s="31"/>
      <c r="I458" s="31"/>
      <c r="K458" s="31"/>
      <c r="L458" s="31"/>
      <c r="M458" s="31"/>
    </row>
    <row r="459">
      <c r="H459" s="31"/>
      <c r="I459" s="31"/>
      <c r="K459" s="31"/>
      <c r="L459" s="31"/>
      <c r="M459" s="31"/>
    </row>
    <row r="460">
      <c r="H460" s="31"/>
      <c r="I460" s="31"/>
      <c r="K460" s="31"/>
      <c r="L460" s="31"/>
      <c r="M460" s="31"/>
    </row>
    <row r="461">
      <c r="H461" s="31"/>
      <c r="I461" s="31"/>
      <c r="K461" s="31"/>
      <c r="L461" s="31"/>
      <c r="M461" s="31"/>
    </row>
    <row r="462">
      <c r="H462" s="31"/>
      <c r="I462" s="31"/>
      <c r="K462" s="31"/>
      <c r="L462" s="31"/>
      <c r="M462" s="31"/>
    </row>
    <row r="463">
      <c r="H463" s="31"/>
      <c r="I463" s="31"/>
      <c r="K463" s="31"/>
      <c r="L463" s="31"/>
      <c r="M463" s="31"/>
    </row>
    <row r="464">
      <c r="H464" s="31"/>
      <c r="I464" s="31"/>
      <c r="K464" s="31"/>
      <c r="L464" s="31"/>
      <c r="M464" s="31"/>
    </row>
    <row r="465">
      <c r="H465" s="31"/>
      <c r="I465" s="31"/>
      <c r="K465" s="31"/>
      <c r="L465" s="31"/>
      <c r="M465" s="31"/>
    </row>
    <row r="466">
      <c r="H466" s="31"/>
      <c r="I466" s="31"/>
      <c r="K466" s="31"/>
      <c r="L466" s="31"/>
      <c r="M466" s="31"/>
    </row>
    <row r="467">
      <c r="H467" s="31"/>
      <c r="I467" s="31"/>
      <c r="K467" s="31"/>
      <c r="L467" s="31"/>
      <c r="M467" s="31"/>
    </row>
    <row r="468">
      <c r="H468" s="31"/>
      <c r="I468" s="31"/>
      <c r="K468" s="31"/>
      <c r="L468" s="31"/>
      <c r="M468" s="31"/>
    </row>
    <row r="469">
      <c r="H469" s="31"/>
      <c r="I469" s="31"/>
      <c r="K469" s="31"/>
      <c r="L469" s="31"/>
      <c r="M469" s="31"/>
    </row>
    <row r="470">
      <c r="H470" s="31"/>
      <c r="I470" s="31"/>
      <c r="K470" s="31"/>
      <c r="L470" s="31"/>
      <c r="M470" s="31"/>
    </row>
    <row r="471">
      <c r="H471" s="31"/>
      <c r="I471" s="31"/>
      <c r="K471" s="31"/>
      <c r="L471" s="31"/>
      <c r="M471" s="31"/>
    </row>
    <row r="472">
      <c r="H472" s="31"/>
      <c r="I472" s="31"/>
      <c r="K472" s="31"/>
      <c r="L472" s="31"/>
      <c r="M472" s="31"/>
    </row>
    <row r="473">
      <c r="H473" s="31"/>
      <c r="I473" s="31"/>
      <c r="K473" s="31"/>
      <c r="L473" s="31"/>
      <c r="M473" s="31"/>
    </row>
    <row r="474">
      <c r="H474" s="31"/>
      <c r="I474" s="31"/>
      <c r="K474" s="31"/>
      <c r="L474" s="31"/>
      <c r="M474" s="31"/>
    </row>
    <row r="475">
      <c r="H475" s="31"/>
      <c r="I475" s="31"/>
      <c r="K475" s="31"/>
      <c r="L475" s="31"/>
      <c r="M475" s="31"/>
    </row>
    <row r="476">
      <c r="H476" s="31"/>
      <c r="I476" s="31"/>
      <c r="K476" s="31"/>
      <c r="L476" s="31"/>
      <c r="M476" s="31"/>
    </row>
    <row r="477">
      <c r="H477" s="31"/>
      <c r="I477" s="31"/>
      <c r="K477" s="31"/>
      <c r="L477" s="31"/>
      <c r="M477" s="31"/>
    </row>
    <row r="478">
      <c r="H478" s="31"/>
      <c r="I478" s="31"/>
      <c r="K478" s="31"/>
      <c r="L478" s="31"/>
      <c r="M478" s="31"/>
    </row>
    <row r="479">
      <c r="H479" s="31"/>
      <c r="I479" s="31"/>
      <c r="K479" s="31"/>
      <c r="L479" s="31"/>
      <c r="M479" s="31"/>
    </row>
    <row r="480">
      <c r="H480" s="31"/>
      <c r="I480" s="31"/>
      <c r="K480" s="31"/>
      <c r="L480" s="31"/>
      <c r="M480" s="31"/>
    </row>
    <row r="481">
      <c r="H481" s="31"/>
      <c r="I481" s="31"/>
      <c r="K481" s="31"/>
      <c r="L481" s="31"/>
      <c r="M481" s="31"/>
    </row>
    <row r="482">
      <c r="H482" s="31"/>
      <c r="I482" s="31"/>
      <c r="K482" s="31"/>
      <c r="L482" s="31"/>
      <c r="M482" s="31"/>
    </row>
    <row r="483">
      <c r="H483" s="31"/>
      <c r="I483" s="31"/>
      <c r="K483" s="31"/>
      <c r="L483" s="31"/>
      <c r="M483" s="31"/>
    </row>
    <row r="484">
      <c r="H484" s="31"/>
      <c r="I484" s="31"/>
      <c r="K484" s="31"/>
      <c r="L484" s="31"/>
      <c r="M484" s="31"/>
    </row>
    <row r="485">
      <c r="H485" s="31"/>
      <c r="I485" s="31"/>
      <c r="K485" s="31"/>
      <c r="L485" s="31"/>
      <c r="M485" s="31"/>
    </row>
    <row r="486">
      <c r="H486" s="31"/>
      <c r="I486" s="31"/>
      <c r="K486" s="31"/>
      <c r="L486" s="31"/>
      <c r="M486" s="31"/>
    </row>
    <row r="487">
      <c r="H487" s="31"/>
      <c r="I487" s="31"/>
      <c r="K487" s="31"/>
      <c r="L487" s="31"/>
      <c r="M487" s="31"/>
    </row>
    <row r="488">
      <c r="H488" s="31"/>
      <c r="I488" s="31"/>
      <c r="K488" s="31"/>
      <c r="L488" s="31"/>
      <c r="M488" s="31"/>
    </row>
    <row r="489">
      <c r="H489" s="31"/>
      <c r="I489" s="31"/>
      <c r="K489" s="31"/>
      <c r="L489" s="31"/>
      <c r="M489" s="31"/>
    </row>
    <row r="490">
      <c r="H490" s="31"/>
      <c r="I490" s="31"/>
      <c r="K490" s="31"/>
      <c r="L490" s="31"/>
      <c r="M490" s="31"/>
    </row>
    <row r="491">
      <c r="H491" s="31"/>
      <c r="I491" s="31"/>
      <c r="K491" s="31"/>
      <c r="L491" s="31"/>
      <c r="M491" s="31"/>
    </row>
    <row r="492">
      <c r="H492" s="31"/>
      <c r="I492" s="31"/>
      <c r="K492" s="31"/>
      <c r="L492" s="31"/>
      <c r="M492" s="31"/>
    </row>
    <row r="493">
      <c r="H493" s="31"/>
      <c r="I493" s="31"/>
      <c r="K493" s="31"/>
      <c r="L493" s="31"/>
      <c r="M493" s="31"/>
    </row>
    <row r="494">
      <c r="H494" s="31"/>
      <c r="I494" s="31"/>
      <c r="K494" s="31"/>
      <c r="L494" s="31"/>
      <c r="M494" s="31"/>
    </row>
    <row r="495">
      <c r="H495" s="31"/>
      <c r="I495" s="31"/>
      <c r="K495" s="31"/>
      <c r="L495" s="31"/>
      <c r="M495" s="31"/>
    </row>
    <row r="496">
      <c r="H496" s="31"/>
      <c r="I496" s="31"/>
      <c r="K496" s="31"/>
      <c r="L496" s="31"/>
      <c r="M496" s="31"/>
    </row>
    <row r="497">
      <c r="H497" s="31"/>
      <c r="I497" s="31"/>
      <c r="K497" s="31"/>
      <c r="L497" s="31"/>
      <c r="M497" s="31"/>
    </row>
    <row r="498">
      <c r="H498" s="31"/>
      <c r="I498" s="31"/>
      <c r="K498" s="31"/>
      <c r="L498" s="31"/>
      <c r="M498" s="31"/>
    </row>
    <row r="499">
      <c r="H499" s="31"/>
      <c r="I499" s="31"/>
      <c r="K499" s="31"/>
      <c r="L499" s="31"/>
      <c r="M499" s="31"/>
    </row>
    <row r="500">
      <c r="H500" s="31"/>
      <c r="I500" s="31"/>
      <c r="K500" s="31"/>
      <c r="L500" s="31"/>
      <c r="M500" s="31"/>
    </row>
    <row r="501">
      <c r="H501" s="31"/>
      <c r="I501" s="31"/>
      <c r="K501" s="31"/>
      <c r="L501" s="31"/>
      <c r="M501" s="31"/>
    </row>
    <row r="502">
      <c r="H502" s="31"/>
      <c r="I502" s="31"/>
      <c r="K502" s="31"/>
      <c r="L502" s="31"/>
      <c r="M502" s="31"/>
    </row>
    <row r="503">
      <c r="H503" s="31"/>
      <c r="I503" s="31"/>
      <c r="K503" s="31"/>
      <c r="L503" s="31"/>
      <c r="M503" s="31"/>
    </row>
    <row r="504">
      <c r="H504" s="31"/>
      <c r="I504" s="31"/>
      <c r="K504" s="31"/>
      <c r="L504" s="31"/>
      <c r="M504" s="31"/>
    </row>
    <row r="505">
      <c r="H505" s="31"/>
      <c r="I505" s="31"/>
      <c r="K505" s="31"/>
      <c r="L505" s="31"/>
      <c r="M505" s="31"/>
    </row>
    <row r="506">
      <c r="H506" s="31"/>
      <c r="I506" s="31"/>
      <c r="K506" s="31"/>
      <c r="L506" s="31"/>
      <c r="M506" s="31"/>
    </row>
    <row r="507">
      <c r="H507" s="31"/>
      <c r="I507" s="31"/>
      <c r="K507" s="31"/>
      <c r="L507" s="31"/>
      <c r="M507" s="31"/>
    </row>
    <row r="508">
      <c r="H508" s="31"/>
      <c r="I508" s="31"/>
      <c r="K508" s="31"/>
      <c r="L508" s="31"/>
      <c r="M508" s="31"/>
    </row>
    <row r="509">
      <c r="H509" s="31"/>
      <c r="I509" s="31"/>
      <c r="K509" s="31"/>
      <c r="L509" s="31"/>
      <c r="M509" s="31"/>
    </row>
    <row r="510">
      <c r="H510" s="31"/>
      <c r="I510" s="31"/>
      <c r="K510" s="31"/>
      <c r="L510" s="31"/>
      <c r="M510" s="31"/>
    </row>
    <row r="511">
      <c r="H511" s="31"/>
      <c r="I511" s="31"/>
      <c r="K511" s="31"/>
      <c r="L511" s="31"/>
      <c r="M511" s="31"/>
    </row>
    <row r="512">
      <c r="H512" s="31"/>
      <c r="I512" s="31"/>
      <c r="K512" s="31"/>
      <c r="L512" s="31"/>
      <c r="M512" s="31"/>
    </row>
    <row r="513">
      <c r="H513" s="31"/>
      <c r="I513" s="31"/>
      <c r="K513" s="31"/>
      <c r="L513" s="31"/>
      <c r="M513" s="31"/>
    </row>
    <row r="514">
      <c r="H514" s="31"/>
      <c r="I514" s="31"/>
      <c r="K514" s="31"/>
      <c r="L514" s="31"/>
      <c r="M514" s="31"/>
    </row>
    <row r="515">
      <c r="H515" s="31"/>
      <c r="I515" s="31"/>
      <c r="K515" s="31"/>
      <c r="L515" s="31"/>
      <c r="M515" s="31"/>
    </row>
    <row r="516">
      <c r="H516" s="31"/>
      <c r="I516" s="31"/>
      <c r="K516" s="31"/>
      <c r="L516" s="31"/>
      <c r="M516" s="31"/>
    </row>
    <row r="517">
      <c r="H517" s="31"/>
      <c r="I517" s="31"/>
      <c r="K517" s="31"/>
      <c r="L517" s="31"/>
      <c r="M517" s="31"/>
    </row>
    <row r="518">
      <c r="H518" s="31"/>
      <c r="I518" s="31"/>
      <c r="K518" s="31"/>
      <c r="L518" s="31"/>
      <c r="M518" s="31"/>
    </row>
    <row r="519">
      <c r="H519" s="31"/>
      <c r="I519" s="31"/>
      <c r="K519" s="31"/>
      <c r="L519" s="31"/>
      <c r="M519" s="31"/>
    </row>
    <row r="520">
      <c r="H520" s="31"/>
      <c r="I520" s="31"/>
      <c r="K520" s="31"/>
      <c r="L520" s="31"/>
      <c r="M520" s="31"/>
    </row>
    <row r="521">
      <c r="H521" s="31"/>
      <c r="I521" s="31"/>
      <c r="K521" s="31"/>
      <c r="L521" s="31"/>
      <c r="M521" s="31"/>
    </row>
    <row r="522">
      <c r="H522" s="31"/>
      <c r="I522" s="31"/>
      <c r="K522" s="31"/>
      <c r="L522" s="31"/>
      <c r="M522" s="31"/>
    </row>
    <row r="523">
      <c r="H523" s="31"/>
      <c r="I523" s="31"/>
      <c r="K523" s="31"/>
      <c r="L523" s="31"/>
      <c r="M523" s="31"/>
    </row>
    <row r="524">
      <c r="H524" s="31"/>
      <c r="I524" s="31"/>
      <c r="K524" s="31"/>
      <c r="L524" s="31"/>
      <c r="M524" s="31"/>
    </row>
    <row r="525">
      <c r="H525" s="31"/>
      <c r="I525" s="31"/>
      <c r="K525" s="31"/>
      <c r="L525" s="31"/>
      <c r="M525" s="31"/>
    </row>
    <row r="526">
      <c r="H526" s="31"/>
      <c r="I526" s="31"/>
      <c r="K526" s="31"/>
      <c r="L526" s="31"/>
      <c r="M526" s="31"/>
    </row>
    <row r="527">
      <c r="H527" s="31"/>
      <c r="I527" s="31"/>
      <c r="K527" s="31"/>
      <c r="L527" s="31"/>
      <c r="M527" s="31"/>
    </row>
    <row r="528">
      <c r="H528" s="31"/>
      <c r="I528" s="31"/>
      <c r="K528" s="31"/>
      <c r="L528" s="31"/>
      <c r="M528" s="31"/>
    </row>
    <row r="529">
      <c r="H529" s="31"/>
      <c r="I529" s="31"/>
      <c r="K529" s="31"/>
      <c r="L529" s="31"/>
      <c r="M529" s="31"/>
    </row>
    <row r="530">
      <c r="H530" s="31"/>
      <c r="I530" s="31"/>
      <c r="K530" s="31"/>
      <c r="L530" s="31"/>
      <c r="M530" s="31"/>
    </row>
    <row r="531">
      <c r="H531" s="31"/>
      <c r="I531" s="31"/>
      <c r="K531" s="31"/>
      <c r="L531" s="31"/>
      <c r="M531" s="31"/>
    </row>
    <row r="532">
      <c r="H532" s="31"/>
      <c r="I532" s="31"/>
      <c r="K532" s="31"/>
      <c r="L532" s="31"/>
      <c r="M532" s="31"/>
    </row>
    <row r="533">
      <c r="H533" s="31"/>
      <c r="I533" s="31"/>
      <c r="K533" s="31"/>
      <c r="L533" s="31"/>
      <c r="M533" s="31"/>
    </row>
    <row r="534">
      <c r="H534" s="31"/>
      <c r="I534" s="31"/>
      <c r="K534" s="31"/>
      <c r="L534" s="31"/>
      <c r="M534" s="31"/>
    </row>
    <row r="535">
      <c r="H535" s="31"/>
      <c r="I535" s="31"/>
      <c r="K535" s="31"/>
      <c r="L535" s="31"/>
      <c r="M535" s="31"/>
    </row>
    <row r="536">
      <c r="H536" s="31"/>
      <c r="I536" s="31"/>
      <c r="K536" s="31"/>
      <c r="L536" s="31"/>
      <c r="M536" s="31"/>
    </row>
    <row r="537">
      <c r="H537" s="31"/>
      <c r="I537" s="31"/>
      <c r="K537" s="31"/>
      <c r="L537" s="31"/>
      <c r="M537" s="31"/>
    </row>
    <row r="538">
      <c r="H538" s="31"/>
      <c r="I538" s="31"/>
      <c r="K538" s="31"/>
      <c r="L538" s="31"/>
      <c r="M538" s="31"/>
    </row>
    <row r="539">
      <c r="H539" s="31"/>
      <c r="I539" s="31"/>
      <c r="K539" s="31"/>
      <c r="L539" s="31"/>
      <c r="M539" s="31"/>
    </row>
    <row r="540">
      <c r="H540" s="31"/>
      <c r="I540" s="31"/>
      <c r="K540" s="31"/>
      <c r="L540" s="31"/>
      <c r="M540" s="31"/>
    </row>
    <row r="541">
      <c r="H541" s="31"/>
      <c r="I541" s="31"/>
      <c r="K541" s="31"/>
      <c r="L541" s="31"/>
      <c r="M541" s="31"/>
    </row>
    <row r="542">
      <c r="H542" s="31"/>
      <c r="I542" s="31"/>
      <c r="K542" s="31"/>
      <c r="L542" s="31"/>
      <c r="M542" s="31"/>
    </row>
    <row r="543">
      <c r="H543" s="31"/>
      <c r="I543" s="31"/>
      <c r="K543" s="31"/>
      <c r="L543" s="31"/>
      <c r="M543" s="31"/>
    </row>
    <row r="544">
      <c r="H544" s="31"/>
      <c r="I544" s="31"/>
      <c r="K544" s="31"/>
      <c r="L544" s="31"/>
      <c r="M544" s="31"/>
    </row>
    <row r="545">
      <c r="H545" s="31"/>
      <c r="I545" s="31"/>
      <c r="K545" s="31"/>
      <c r="L545" s="31"/>
      <c r="M545" s="31"/>
    </row>
    <row r="546">
      <c r="H546" s="31"/>
      <c r="I546" s="31"/>
      <c r="K546" s="31"/>
      <c r="L546" s="31"/>
      <c r="M546" s="31"/>
    </row>
    <row r="547">
      <c r="H547" s="31"/>
      <c r="I547" s="31"/>
      <c r="K547" s="31"/>
      <c r="L547" s="31"/>
      <c r="M547" s="31"/>
    </row>
    <row r="548">
      <c r="H548" s="31"/>
      <c r="I548" s="31"/>
      <c r="K548" s="31"/>
      <c r="L548" s="31"/>
      <c r="M548" s="31"/>
    </row>
    <row r="549">
      <c r="H549" s="31"/>
      <c r="I549" s="31"/>
      <c r="K549" s="31"/>
      <c r="L549" s="31"/>
      <c r="M549" s="31"/>
    </row>
    <row r="550">
      <c r="H550" s="31"/>
      <c r="I550" s="31"/>
      <c r="K550" s="31"/>
      <c r="L550" s="31"/>
      <c r="M550" s="31"/>
    </row>
    <row r="551">
      <c r="H551" s="31"/>
      <c r="I551" s="31"/>
      <c r="K551" s="31"/>
      <c r="L551" s="31"/>
      <c r="M551" s="31"/>
    </row>
    <row r="552">
      <c r="H552" s="31"/>
      <c r="I552" s="31"/>
      <c r="K552" s="31"/>
      <c r="L552" s="31"/>
      <c r="M552" s="31"/>
    </row>
    <row r="553">
      <c r="H553" s="31"/>
      <c r="I553" s="31"/>
      <c r="K553" s="31"/>
      <c r="L553" s="31"/>
      <c r="M553" s="31"/>
    </row>
    <row r="554">
      <c r="H554" s="31"/>
      <c r="I554" s="31"/>
      <c r="K554" s="31"/>
      <c r="L554" s="31"/>
      <c r="M554" s="31"/>
    </row>
    <row r="555">
      <c r="H555" s="31"/>
      <c r="I555" s="31"/>
      <c r="K555" s="31"/>
      <c r="L555" s="31"/>
      <c r="M555" s="31"/>
    </row>
    <row r="556">
      <c r="H556" s="31"/>
      <c r="I556" s="31"/>
      <c r="K556" s="31"/>
      <c r="L556" s="31"/>
      <c r="M556" s="31"/>
    </row>
    <row r="557">
      <c r="H557" s="31"/>
      <c r="I557" s="31"/>
      <c r="K557" s="31"/>
      <c r="L557" s="31"/>
      <c r="M557" s="31"/>
    </row>
    <row r="558">
      <c r="H558" s="31"/>
      <c r="I558" s="31"/>
      <c r="K558" s="31"/>
      <c r="L558" s="31"/>
      <c r="M558" s="31"/>
    </row>
    <row r="559">
      <c r="H559" s="31"/>
      <c r="I559" s="31"/>
      <c r="K559" s="31"/>
      <c r="L559" s="31"/>
      <c r="M559" s="31"/>
    </row>
    <row r="560">
      <c r="H560" s="31"/>
      <c r="I560" s="31"/>
      <c r="K560" s="31"/>
      <c r="L560" s="31"/>
      <c r="M560" s="31"/>
    </row>
    <row r="561">
      <c r="H561" s="31"/>
      <c r="I561" s="31"/>
      <c r="K561" s="31"/>
      <c r="L561" s="31"/>
      <c r="M561" s="31"/>
    </row>
    <row r="562">
      <c r="H562" s="31"/>
      <c r="I562" s="31"/>
      <c r="K562" s="31"/>
      <c r="L562" s="31"/>
      <c r="M562" s="31"/>
    </row>
    <row r="563">
      <c r="H563" s="31"/>
      <c r="I563" s="31"/>
      <c r="K563" s="31"/>
      <c r="L563" s="31"/>
      <c r="M563" s="31"/>
    </row>
    <row r="564">
      <c r="H564" s="31"/>
      <c r="I564" s="31"/>
      <c r="K564" s="31"/>
      <c r="L564" s="31"/>
      <c r="M564" s="31"/>
    </row>
    <row r="565">
      <c r="H565" s="31"/>
      <c r="I565" s="31"/>
      <c r="K565" s="31"/>
      <c r="L565" s="31"/>
      <c r="M565" s="31"/>
    </row>
    <row r="566">
      <c r="H566" s="31"/>
      <c r="I566" s="31"/>
      <c r="K566" s="31"/>
      <c r="L566" s="31"/>
      <c r="M566" s="31"/>
    </row>
    <row r="567">
      <c r="H567" s="31"/>
      <c r="I567" s="31"/>
      <c r="K567" s="31"/>
      <c r="L567" s="31"/>
      <c r="M567" s="31"/>
    </row>
    <row r="568">
      <c r="H568" s="31"/>
      <c r="I568" s="31"/>
      <c r="K568" s="31"/>
      <c r="L568" s="31"/>
      <c r="M568" s="31"/>
    </row>
    <row r="569">
      <c r="H569" s="31"/>
      <c r="I569" s="31"/>
      <c r="K569" s="31"/>
      <c r="L569" s="31"/>
      <c r="M569" s="31"/>
    </row>
    <row r="570">
      <c r="H570" s="31"/>
      <c r="I570" s="31"/>
      <c r="K570" s="31"/>
      <c r="L570" s="31"/>
      <c r="M570" s="31"/>
    </row>
    <row r="571">
      <c r="H571" s="31"/>
      <c r="I571" s="31"/>
      <c r="K571" s="31"/>
      <c r="L571" s="31"/>
      <c r="M571" s="31"/>
    </row>
    <row r="572">
      <c r="H572" s="31"/>
      <c r="I572" s="31"/>
      <c r="K572" s="31"/>
      <c r="L572" s="31"/>
      <c r="M572" s="31"/>
    </row>
    <row r="573">
      <c r="H573" s="31"/>
      <c r="I573" s="31"/>
      <c r="K573" s="31"/>
      <c r="L573" s="31"/>
      <c r="M573" s="31"/>
    </row>
    <row r="574">
      <c r="H574" s="31"/>
      <c r="I574" s="31"/>
      <c r="K574" s="31"/>
      <c r="L574" s="31"/>
      <c r="M574" s="31"/>
    </row>
    <row r="575">
      <c r="H575" s="31"/>
      <c r="I575" s="31"/>
      <c r="K575" s="31"/>
      <c r="L575" s="31"/>
      <c r="M575" s="31"/>
    </row>
    <row r="576">
      <c r="H576" s="31"/>
      <c r="I576" s="31"/>
      <c r="K576" s="31"/>
      <c r="L576" s="31"/>
      <c r="M576" s="31"/>
    </row>
    <row r="577">
      <c r="H577" s="31"/>
      <c r="I577" s="31"/>
      <c r="K577" s="31"/>
      <c r="L577" s="31"/>
      <c r="M577" s="31"/>
    </row>
    <row r="578">
      <c r="H578" s="31"/>
      <c r="I578" s="31"/>
      <c r="K578" s="31"/>
      <c r="L578" s="31"/>
      <c r="M578" s="31"/>
    </row>
    <row r="579">
      <c r="H579" s="31"/>
      <c r="I579" s="31"/>
      <c r="K579" s="31"/>
      <c r="L579" s="31"/>
      <c r="M579" s="31"/>
    </row>
    <row r="580">
      <c r="H580" s="31"/>
      <c r="I580" s="31"/>
      <c r="K580" s="31"/>
      <c r="L580" s="31"/>
      <c r="M580" s="31"/>
    </row>
    <row r="581">
      <c r="H581" s="31"/>
      <c r="I581" s="31"/>
      <c r="K581" s="31"/>
      <c r="L581" s="31"/>
      <c r="M581" s="31"/>
    </row>
    <row r="582">
      <c r="H582" s="31"/>
      <c r="I582" s="31"/>
      <c r="K582" s="31"/>
      <c r="L582" s="31"/>
      <c r="M582" s="31"/>
    </row>
    <row r="583">
      <c r="H583" s="31"/>
      <c r="I583" s="31"/>
      <c r="K583" s="31"/>
      <c r="L583" s="31"/>
      <c r="M583" s="31"/>
    </row>
    <row r="584">
      <c r="H584" s="31"/>
      <c r="I584" s="31"/>
      <c r="K584" s="31"/>
      <c r="L584" s="31"/>
      <c r="M584" s="31"/>
    </row>
    <row r="585">
      <c r="H585" s="31"/>
      <c r="I585" s="31"/>
      <c r="K585" s="31"/>
      <c r="L585" s="31"/>
      <c r="M585" s="31"/>
    </row>
    <row r="586">
      <c r="H586" s="31"/>
      <c r="I586" s="31"/>
      <c r="K586" s="31"/>
      <c r="L586" s="31"/>
      <c r="M586" s="31"/>
    </row>
    <row r="587">
      <c r="H587" s="31"/>
      <c r="I587" s="31"/>
      <c r="K587" s="31"/>
      <c r="L587" s="31"/>
      <c r="M587" s="31"/>
    </row>
    <row r="588">
      <c r="H588" s="31"/>
      <c r="I588" s="31"/>
      <c r="K588" s="31"/>
      <c r="L588" s="31"/>
      <c r="M588" s="31"/>
    </row>
    <row r="589">
      <c r="H589" s="31"/>
      <c r="I589" s="31"/>
      <c r="K589" s="31"/>
      <c r="L589" s="31"/>
      <c r="M589" s="31"/>
    </row>
    <row r="590">
      <c r="H590" s="31"/>
      <c r="I590" s="31"/>
      <c r="K590" s="31"/>
      <c r="L590" s="31"/>
      <c r="M590" s="31"/>
    </row>
    <row r="591">
      <c r="H591" s="31"/>
      <c r="I591" s="31"/>
      <c r="K591" s="31"/>
      <c r="L591" s="31"/>
      <c r="M591" s="31"/>
    </row>
    <row r="592">
      <c r="H592" s="31"/>
      <c r="I592" s="31"/>
      <c r="K592" s="31"/>
      <c r="L592" s="31"/>
      <c r="M592" s="31"/>
    </row>
    <row r="593">
      <c r="H593" s="31"/>
      <c r="I593" s="31"/>
      <c r="K593" s="31"/>
      <c r="L593" s="31"/>
      <c r="M593" s="31"/>
    </row>
    <row r="594">
      <c r="H594" s="31"/>
      <c r="I594" s="31"/>
      <c r="K594" s="31"/>
      <c r="L594" s="31"/>
      <c r="M594" s="31"/>
    </row>
    <row r="595">
      <c r="H595" s="31"/>
      <c r="I595" s="31"/>
      <c r="K595" s="31"/>
      <c r="L595" s="31"/>
      <c r="M595" s="31"/>
    </row>
    <row r="596">
      <c r="H596" s="31"/>
      <c r="I596" s="31"/>
      <c r="K596" s="31"/>
      <c r="L596" s="31"/>
      <c r="M596" s="31"/>
    </row>
    <row r="597">
      <c r="H597" s="31"/>
      <c r="I597" s="31"/>
      <c r="K597" s="31"/>
      <c r="L597" s="31"/>
      <c r="M597" s="31"/>
    </row>
    <row r="598">
      <c r="H598" s="31"/>
      <c r="I598" s="31"/>
      <c r="K598" s="31"/>
      <c r="L598" s="31"/>
      <c r="M598" s="31"/>
    </row>
    <row r="599">
      <c r="H599" s="31"/>
      <c r="I599" s="31"/>
      <c r="K599" s="31"/>
      <c r="L599" s="31"/>
      <c r="M599" s="31"/>
    </row>
    <row r="600">
      <c r="H600" s="31"/>
      <c r="I600" s="31"/>
      <c r="K600" s="31"/>
      <c r="L600" s="31"/>
      <c r="M600" s="31"/>
    </row>
    <row r="601">
      <c r="H601" s="31"/>
      <c r="I601" s="31"/>
      <c r="K601" s="31"/>
      <c r="L601" s="31"/>
      <c r="M601" s="31"/>
    </row>
    <row r="602">
      <c r="H602" s="31"/>
      <c r="I602" s="31"/>
      <c r="K602" s="31"/>
      <c r="L602" s="31"/>
      <c r="M602" s="31"/>
    </row>
    <row r="603">
      <c r="H603" s="31"/>
      <c r="I603" s="31"/>
      <c r="K603" s="31"/>
      <c r="L603" s="31"/>
      <c r="M603" s="31"/>
    </row>
    <row r="604">
      <c r="H604" s="31"/>
      <c r="I604" s="31"/>
      <c r="K604" s="31"/>
      <c r="L604" s="31"/>
      <c r="M604" s="31"/>
    </row>
    <row r="605">
      <c r="H605" s="31"/>
      <c r="I605" s="31"/>
      <c r="K605" s="31"/>
      <c r="L605" s="31"/>
      <c r="M605" s="31"/>
    </row>
    <row r="606">
      <c r="H606" s="31"/>
      <c r="I606" s="31"/>
      <c r="K606" s="31"/>
      <c r="L606" s="31"/>
      <c r="M606" s="31"/>
    </row>
    <row r="607">
      <c r="H607" s="31"/>
      <c r="I607" s="31"/>
      <c r="K607" s="31"/>
      <c r="L607" s="31"/>
      <c r="M607" s="31"/>
    </row>
    <row r="608">
      <c r="H608" s="31"/>
      <c r="I608" s="31"/>
      <c r="K608" s="31"/>
      <c r="L608" s="31"/>
      <c r="M608" s="31"/>
    </row>
    <row r="609">
      <c r="H609" s="31"/>
      <c r="I609" s="31"/>
      <c r="K609" s="31"/>
      <c r="L609" s="31"/>
      <c r="M609" s="31"/>
    </row>
    <row r="610">
      <c r="H610" s="31"/>
      <c r="I610" s="31"/>
      <c r="K610" s="31"/>
      <c r="L610" s="31"/>
      <c r="M610" s="31"/>
    </row>
    <row r="611">
      <c r="H611" s="31"/>
      <c r="I611" s="31"/>
      <c r="K611" s="31"/>
      <c r="L611" s="31"/>
      <c r="M611" s="31"/>
    </row>
    <row r="612">
      <c r="H612" s="31"/>
      <c r="I612" s="31"/>
      <c r="K612" s="31"/>
      <c r="L612" s="31"/>
      <c r="M612" s="31"/>
    </row>
    <row r="613">
      <c r="H613" s="31"/>
      <c r="I613" s="31"/>
      <c r="K613" s="31"/>
      <c r="L613" s="31"/>
      <c r="M613" s="31"/>
    </row>
    <row r="614">
      <c r="H614" s="31"/>
      <c r="I614" s="31"/>
      <c r="K614" s="31"/>
      <c r="L614" s="31"/>
      <c r="M614" s="31"/>
    </row>
    <row r="615">
      <c r="H615" s="31"/>
      <c r="I615" s="31"/>
      <c r="K615" s="31"/>
      <c r="L615" s="31"/>
      <c r="M615" s="31"/>
    </row>
    <row r="616">
      <c r="H616" s="31"/>
      <c r="I616" s="31"/>
      <c r="K616" s="31"/>
      <c r="L616" s="31"/>
      <c r="M616" s="31"/>
    </row>
    <row r="617">
      <c r="H617" s="31"/>
      <c r="I617" s="31"/>
      <c r="K617" s="31"/>
      <c r="L617" s="31"/>
      <c r="M617" s="31"/>
    </row>
    <row r="618">
      <c r="H618" s="31"/>
      <c r="I618" s="31"/>
      <c r="K618" s="31"/>
      <c r="L618" s="31"/>
      <c r="M618" s="31"/>
    </row>
    <row r="619">
      <c r="H619" s="31"/>
      <c r="I619" s="31"/>
      <c r="K619" s="31"/>
      <c r="L619" s="31"/>
      <c r="M619" s="31"/>
    </row>
    <row r="620">
      <c r="H620" s="31"/>
      <c r="I620" s="31"/>
      <c r="K620" s="31"/>
      <c r="L620" s="31"/>
      <c r="M620" s="31"/>
    </row>
    <row r="621">
      <c r="H621" s="31"/>
      <c r="I621" s="31"/>
      <c r="K621" s="31"/>
      <c r="L621" s="31"/>
      <c r="M621" s="31"/>
    </row>
    <row r="622">
      <c r="H622" s="31"/>
      <c r="I622" s="31"/>
      <c r="K622" s="31"/>
      <c r="L622" s="31"/>
      <c r="M622" s="31"/>
    </row>
    <row r="623">
      <c r="H623" s="31"/>
      <c r="I623" s="31"/>
      <c r="K623" s="31"/>
      <c r="L623" s="31"/>
      <c r="M623" s="31"/>
    </row>
    <row r="624">
      <c r="H624" s="31"/>
      <c r="I624" s="31"/>
      <c r="K624" s="31"/>
      <c r="L624" s="31"/>
      <c r="M624" s="31"/>
    </row>
    <row r="625">
      <c r="H625" s="31"/>
      <c r="I625" s="31"/>
      <c r="K625" s="31"/>
      <c r="L625" s="31"/>
      <c r="M625" s="31"/>
    </row>
    <row r="626">
      <c r="H626" s="31"/>
      <c r="I626" s="31"/>
      <c r="K626" s="31"/>
      <c r="L626" s="31"/>
      <c r="M626" s="31"/>
    </row>
    <row r="627">
      <c r="H627" s="31"/>
      <c r="I627" s="31"/>
      <c r="K627" s="31"/>
      <c r="L627" s="31"/>
      <c r="M627" s="31"/>
    </row>
    <row r="628">
      <c r="H628" s="31"/>
      <c r="I628" s="31"/>
      <c r="K628" s="31"/>
      <c r="L628" s="31"/>
      <c r="M628" s="31"/>
    </row>
    <row r="629">
      <c r="H629" s="31"/>
      <c r="I629" s="31"/>
      <c r="K629" s="31"/>
      <c r="L629" s="31"/>
      <c r="M629" s="31"/>
    </row>
    <row r="630">
      <c r="H630" s="31"/>
      <c r="I630" s="31"/>
      <c r="K630" s="31"/>
      <c r="L630" s="31"/>
      <c r="M630" s="31"/>
    </row>
    <row r="631">
      <c r="H631" s="31"/>
      <c r="I631" s="31"/>
      <c r="K631" s="31"/>
      <c r="L631" s="31"/>
      <c r="M631" s="31"/>
    </row>
    <row r="632">
      <c r="H632" s="31"/>
      <c r="I632" s="31"/>
      <c r="K632" s="31"/>
      <c r="L632" s="31"/>
      <c r="M632" s="31"/>
    </row>
    <row r="633">
      <c r="H633" s="31"/>
      <c r="I633" s="31"/>
      <c r="K633" s="31"/>
      <c r="L633" s="31"/>
      <c r="M633" s="31"/>
    </row>
    <row r="634">
      <c r="H634" s="31"/>
      <c r="I634" s="31"/>
      <c r="K634" s="31"/>
      <c r="L634" s="31"/>
      <c r="M634" s="31"/>
    </row>
    <row r="635">
      <c r="H635" s="31"/>
      <c r="I635" s="31"/>
      <c r="K635" s="31"/>
      <c r="L635" s="31"/>
      <c r="M635" s="31"/>
    </row>
    <row r="636">
      <c r="H636" s="31"/>
      <c r="I636" s="31"/>
      <c r="K636" s="31"/>
      <c r="L636" s="31"/>
      <c r="M636" s="31"/>
    </row>
    <row r="637">
      <c r="H637" s="31"/>
      <c r="I637" s="31"/>
      <c r="K637" s="31"/>
      <c r="L637" s="31"/>
      <c r="M637" s="31"/>
    </row>
    <row r="638">
      <c r="H638" s="31"/>
      <c r="I638" s="31"/>
      <c r="K638" s="31"/>
      <c r="L638" s="31"/>
      <c r="M638" s="31"/>
    </row>
    <row r="639">
      <c r="H639" s="31"/>
      <c r="I639" s="31"/>
      <c r="K639" s="31"/>
      <c r="L639" s="31"/>
      <c r="M639" s="31"/>
    </row>
    <row r="640">
      <c r="H640" s="31"/>
      <c r="I640" s="31"/>
      <c r="K640" s="31"/>
      <c r="L640" s="31"/>
      <c r="M640" s="31"/>
    </row>
    <row r="641">
      <c r="H641" s="31"/>
      <c r="I641" s="31"/>
      <c r="K641" s="31"/>
      <c r="L641" s="31"/>
      <c r="M641" s="31"/>
    </row>
    <row r="642">
      <c r="H642" s="31"/>
      <c r="I642" s="31"/>
      <c r="K642" s="31"/>
      <c r="L642" s="31"/>
      <c r="M642" s="31"/>
    </row>
    <row r="643">
      <c r="H643" s="31"/>
      <c r="I643" s="31"/>
      <c r="K643" s="31"/>
      <c r="L643" s="31"/>
      <c r="M643" s="31"/>
    </row>
    <row r="644">
      <c r="H644" s="31"/>
      <c r="I644" s="31"/>
      <c r="K644" s="31"/>
      <c r="L644" s="31"/>
      <c r="M644" s="31"/>
    </row>
    <row r="645">
      <c r="H645" s="31"/>
      <c r="I645" s="31"/>
      <c r="K645" s="31"/>
      <c r="L645" s="31"/>
      <c r="M645" s="31"/>
    </row>
    <row r="646">
      <c r="H646" s="31"/>
      <c r="I646" s="31"/>
      <c r="K646" s="31"/>
      <c r="L646" s="31"/>
      <c r="M646" s="31"/>
    </row>
    <row r="647">
      <c r="H647" s="31"/>
      <c r="I647" s="31"/>
      <c r="K647" s="31"/>
      <c r="L647" s="31"/>
      <c r="M647" s="31"/>
    </row>
    <row r="648">
      <c r="H648" s="31"/>
      <c r="I648" s="31"/>
      <c r="K648" s="31"/>
      <c r="L648" s="31"/>
      <c r="M648" s="31"/>
    </row>
    <row r="649">
      <c r="H649" s="31"/>
      <c r="I649" s="31"/>
      <c r="K649" s="31"/>
      <c r="L649" s="31"/>
      <c r="M649" s="31"/>
    </row>
    <row r="650">
      <c r="H650" s="31"/>
      <c r="I650" s="31"/>
      <c r="K650" s="31"/>
      <c r="L650" s="31"/>
      <c r="M650" s="31"/>
    </row>
    <row r="651">
      <c r="H651" s="31"/>
      <c r="I651" s="31"/>
      <c r="K651" s="31"/>
      <c r="L651" s="31"/>
      <c r="M651" s="31"/>
    </row>
    <row r="652">
      <c r="H652" s="31"/>
      <c r="I652" s="31"/>
      <c r="K652" s="31"/>
      <c r="L652" s="31"/>
      <c r="M652" s="31"/>
    </row>
    <row r="653">
      <c r="H653" s="31"/>
      <c r="I653" s="31"/>
      <c r="K653" s="31"/>
      <c r="L653" s="31"/>
      <c r="M653" s="31"/>
    </row>
    <row r="654">
      <c r="H654" s="31"/>
      <c r="I654" s="31"/>
      <c r="K654" s="31"/>
      <c r="L654" s="31"/>
      <c r="M654" s="31"/>
    </row>
    <row r="655">
      <c r="H655" s="31"/>
      <c r="I655" s="31"/>
      <c r="K655" s="31"/>
      <c r="L655" s="31"/>
      <c r="M655" s="31"/>
    </row>
    <row r="656">
      <c r="H656" s="31"/>
      <c r="I656" s="31"/>
      <c r="K656" s="31"/>
      <c r="L656" s="31"/>
      <c r="M656" s="31"/>
    </row>
    <row r="657">
      <c r="H657" s="31"/>
      <c r="I657" s="31"/>
      <c r="K657" s="31"/>
      <c r="L657" s="31"/>
      <c r="M657" s="31"/>
    </row>
    <row r="658">
      <c r="H658" s="31"/>
      <c r="I658" s="31"/>
      <c r="K658" s="31"/>
      <c r="L658" s="31"/>
      <c r="M658" s="31"/>
    </row>
    <row r="659">
      <c r="H659" s="31"/>
      <c r="I659" s="31"/>
      <c r="K659" s="31"/>
      <c r="L659" s="31"/>
      <c r="M659" s="31"/>
    </row>
    <row r="660">
      <c r="H660" s="31"/>
      <c r="I660" s="31"/>
      <c r="K660" s="31"/>
      <c r="L660" s="31"/>
      <c r="M660" s="31"/>
    </row>
    <row r="661">
      <c r="H661" s="31"/>
      <c r="I661" s="31"/>
      <c r="K661" s="31"/>
      <c r="L661" s="31"/>
      <c r="M661" s="31"/>
    </row>
    <row r="662">
      <c r="H662" s="31"/>
      <c r="I662" s="31"/>
      <c r="K662" s="31"/>
      <c r="L662" s="31"/>
      <c r="M662" s="31"/>
    </row>
    <row r="663">
      <c r="H663" s="31"/>
      <c r="I663" s="31"/>
      <c r="K663" s="31"/>
      <c r="L663" s="31"/>
      <c r="M663" s="31"/>
    </row>
    <row r="664">
      <c r="H664" s="31"/>
      <c r="I664" s="31"/>
      <c r="K664" s="31"/>
      <c r="L664" s="31"/>
      <c r="M664" s="31"/>
    </row>
    <row r="665">
      <c r="H665" s="31"/>
      <c r="I665" s="31"/>
      <c r="K665" s="31"/>
      <c r="L665" s="31"/>
      <c r="M665" s="31"/>
    </row>
    <row r="666">
      <c r="H666" s="31"/>
      <c r="I666" s="31"/>
      <c r="K666" s="31"/>
      <c r="L666" s="31"/>
      <c r="M666" s="31"/>
    </row>
    <row r="667">
      <c r="H667" s="31"/>
      <c r="I667" s="31"/>
      <c r="K667" s="31"/>
      <c r="L667" s="31"/>
      <c r="M667" s="31"/>
    </row>
    <row r="668">
      <c r="H668" s="31"/>
      <c r="I668" s="31"/>
      <c r="K668" s="31"/>
      <c r="L668" s="31"/>
      <c r="M668" s="31"/>
    </row>
    <row r="669">
      <c r="H669" s="31"/>
      <c r="I669" s="31"/>
      <c r="K669" s="31"/>
      <c r="L669" s="31"/>
      <c r="M669" s="31"/>
    </row>
    <row r="670">
      <c r="H670" s="31"/>
      <c r="I670" s="31"/>
      <c r="K670" s="31"/>
      <c r="L670" s="31"/>
      <c r="M670" s="31"/>
    </row>
    <row r="671">
      <c r="H671" s="31"/>
      <c r="I671" s="31"/>
      <c r="K671" s="31"/>
      <c r="L671" s="31"/>
      <c r="M671" s="31"/>
    </row>
    <row r="672">
      <c r="H672" s="31"/>
      <c r="I672" s="31"/>
      <c r="K672" s="31"/>
      <c r="L672" s="31"/>
      <c r="M672" s="31"/>
    </row>
    <row r="673">
      <c r="H673" s="31"/>
      <c r="I673" s="31"/>
      <c r="K673" s="31"/>
      <c r="L673" s="31"/>
      <c r="M673" s="31"/>
    </row>
    <row r="674">
      <c r="H674" s="31"/>
      <c r="I674" s="31"/>
      <c r="K674" s="31"/>
      <c r="L674" s="31"/>
      <c r="M674" s="31"/>
    </row>
    <row r="675">
      <c r="H675" s="31"/>
      <c r="I675" s="31"/>
      <c r="K675" s="31"/>
      <c r="L675" s="31"/>
      <c r="M675" s="31"/>
    </row>
    <row r="676">
      <c r="H676" s="31"/>
      <c r="I676" s="31"/>
      <c r="K676" s="31"/>
      <c r="L676" s="31"/>
      <c r="M676" s="31"/>
    </row>
    <row r="677">
      <c r="H677" s="31"/>
      <c r="I677" s="31"/>
      <c r="K677" s="31"/>
      <c r="L677" s="31"/>
      <c r="M677" s="31"/>
    </row>
    <row r="678">
      <c r="H678" s="31"/>
      <c r="I678" s="31"/>
      <c r="K678" s="31"/>
      <c r="L678" s="31"/>
      <c r="M678" s="31"/>
    </row>
    <row r="679">
      <c r="H679" s="31"/>
      <c r="I679" s="31"/>
      <c r="K679" s="31"/>
      <c r="L679" s="31"/>
      <c r="M679" s="31"/>
    </row>
    <row r="680">
      <c r="H680" s="31"/>
      <c r="I680" s="31"/>
      <c r="K680" s="31"/>
      <c r="L680" s="31"/>
      <c r="M680" s="31"/>
    </row>
    <row r="681">
      <c r="H681" s="31"/>
      <c r="I681" s="31"/>
      <c r="K681" s="31"/>
      <c r="L681" s="31"/>
      <c r="M681" s="31"/>
    </row>
    <row r="682">
      <c r="H682" s="31"/>
      <c r="I682" s="31"/>
      <c r="K682" s="31"/>
      <c r="L682" s="31"/>
      <c r="M682" s="31"/>
    </row>
    <row r="683">
      <c r="H683" s="31"/>
      <c r="I683" s="31"/>
      <c r="K683" s="31"/>
      <c r="L683" s="31"/>
      <c r="M683" s="31"/>
    </row>
    <row r="684">
      <c r="H684" s="31"/>
      <c r="I684" s="31"/>
      <c r="K684" s="31"/>
      <c r="L684" s="31"/>
      <c r="M684" s="31"/>
    </row>
    <row r="685">
      <c r="H685" s="31"/>
      <c r="I685" s="31"/>
      <c r="K685" s="31"/>
      <c r="L685" s="31"/>
      <c r="M685" s="31"/>
    </row>
    <row r="686">
      <c r="H686" s="31"/>
      <c r="I686" s="31"/>
      <c r="K686" s="31"/>
      <c r="L686" s="31"/>
      <c r="M686" s="31"/>
    </row>
    <row r="687">
      <c r="H687" s="31"/>
      <c r="I687" s="31"/>
      <c r="K687" s="31"/>
      <c r="L687" s="31"/>
      <c r="M687" s="31"/>
    </row>
    <row r="688">
      <c r="H688" s="31"/>
      <c r="I688" s="31"/>
      <c r="K688" s="31"/>
      <c r="L688" s="31"/>
      <c r="M688" s="31"/>
    </row>
    <row r="689">
      <c r="H689" s="31"/>
      <c r="I689" s="31"/>
      <c r="K689" s="31"/>
      <c r="L689" s="31"/>
      <c r="M689" s="31"/>
    </row>
    <row r="690">
      <c r="H690" s="31"/>
      <c r="I690" s="31"/>
      <c r="K690" s="31"/>
      <c r="L690" s="31"/>
      <c r="M690" s="31"/>
    </row>
    <row r="691">
      <c r="H691" s="31"/>
      <c r="I691" s="31"/>
      <c r="K691" s="31"/>
      <c r="L691" s="31"/>
      <c r="M691" s="31"/>
    </row>
    <row r="692">
      <c r="H692" s="31"/>
      <c r="I692" s="31"/>
      <c r="K692" s="31"/>
      <c r="L692" s="31"/>
      <c r="M692" s="31"/>
    </row>
    <row r="693">
      <c r="H693" s="31"/>
      <c r="I693" s="31"/>
      <c r="K693" s="31"/>
      <c r="L693" s="31"/>
      <c r="M693" s="31"/>
    </row>
    <row r="694">
      <c r="H694" s="31"/>
      <c r="I694" s="31"/>
      <c r="K694" s="31"/>
      <c r="L694" s="31"/>
      <c r="M694" s="31"/>
    </row>
    <row r="695">
      <c r="H695" s="31"/>
      <c r="I695" s="31"/>
      <c r="K695" s="31"/>
      <c r="L695" s="31"/>
      <c r="M695" s="31"/>
    </row>
    <row r="696">
      <c r="H696" s="31"/>
      <c r="I696" s="31"/>
      <c r="K696" s="31"/>
      <c r="L696" s="31"/>
      <c r="M696" s="31"/>
    </row>
    <row r="697">
      <c r="H697" s="31"/>
      <c r="I697" s="31"/>
      <c r="K697" s="31"/>
      <c r="L697" s="31"/>
      <c r="M697" s="31"/>
    </row>
    <row r="698">
      <c r="H698" s="31"/>
      <c r="I698" s="31"/>
      <c r="K698" s="31"/>
      <c r="L698" s="31"/>
      <c r="M698" s="31"/>
    </row>
    <row r="699">
      <c r="H699" s="31"/>
      <c r="I699" s="31"/>
      <c r="K699" s="31"/>
      <c r="L699" s="31"/>
      <c r="M699" s="31"/>
    </row>
    <row r="700">
      <c r="H700" s="31"/>
      <c r="I700" s="31"/>
      <c r="K700" s="31"/>
      <c r="L700" s="31"/>
      <c r="M700" s="31"/>
    </row>
    <row r="701">
      <c r="H701" s="31"/>
      <c r="I701" s="31"/>
      <c r="K701" s="31"/>
      <c r="L701" s="31"/>
      <c r="M701" s="31"/>
    </row>
    <row r="702">
      <c r="H702" s="31"/>
      <c r="I702" s="31"/>
      <c r="K702" s="31"/>
      <c r="L702" s="31"/>
      <c r="M702" s="31"/>
    </row>
    <row r="703">
      <c r="H703" s="31"/>
      <c r="I703" s="31"/>
      <c r="K703" s="31"/>
      <c r="L703" s="31"/>
      <c r="M703" s="31"/>
    </row>
    <row r="704">
      <c r="H704" s="31"/>
      <c r="I704" s="31"/>
      <c r="K704" s="31"/>
      <c r="L704" s="31"/>
      <c r="M704" s="31"/>
    </row>
    <row r="705">
      <c r="H705" s="31"/>
      <c r="I705" s="31"/>
      <c r="K705" s="31"/>
      <c r="L705" s="31"/>
      <c r="M705" s="31"/>
    </row>
    <row r="706">
      <c r="H706" s="31"/>
      <c r="I706" s="31"/>
      <c r="K706" s="31"/>
      <c r="L706" s="31"/>
      <c r="M706" s="31"/>
    </row>
    <row r="707">
      <c r="H707" s="31"/>
      <c r="I707" s="31"/>
      <c r="K707" s="31"/>
      <c r="L707" s="31"/>
      <c r="M707" s="31"/>
    </row>
    <row r="708">
      <c r="H708" s="31"/>
      <c r="I708" s="31"/>
      <c r="K708" s="31"/>
      <c r="L708" s="31"/>
      <c r="M708" s="31"/>
    </row>
    <row r="709">
      <c r="H709" s="31"/>
      <c r="I709" s="31"/>
      <c r="K709" s="31"/>
      <c r="L709" s="31"/>
      <c r="M709" s="31"/>
    </row>
    <row r="710">
      <c r="H710" s="31"/>
      <c r="I710" s="31"/>
      <c r="K710" s="31"/>
      <c r="L710" s="31"/>
      <c r="M710" s="31"/>
    </row>
    <row r="711">
      <c r="H711" s="31"/>
      <c r="I711" s="31"/>
      <c r="K711" s="31"/>
      <c r="L711" s="31"/>
      <c r="M711" s="31"/>
    </row>
    <row r="712">
      <c r="H712" s="31"/>
      <c r="I712" s="31"/>
      <c r="K712" s="31"/>
      <c r="L712" s="31"/>
      <c r="M712" s="31"/>
    </row>
    <row r="713">
      <c r="H713" s="31"/>
      <c r="I713" s="31"/>
      <c r="K713" s="31"/>
      <c r="L713" s="31"/>
      <c r="M713" s="31"/>
    </row>
    <row r="714">
      <c r="H714" s="31"/>
      <c r="I714" s="31"/>
      <c r="K714" s="31"/>
      <c r="L714" s="31"/>
      <c r="M714" s="31"/>
    </row>
    <row r="715">
      <c r="H715" s="31"/>
      <c r="I715" s="31"/>
      <c r="K715" s="31"/>
      <c r="L715" s="31"/>
      <c r="M715" s="31"/>
    </row>
    <row r="716">
      <c r="H716" s="31"/>
      <c r="I716" s="31"/>
      <c r="K716" s="31"/>
      <c r="L716" s="31"/>
      <c r="M716" s="31"/>
    </row>
    <row r="717">
      <c r="H717" s="31"/>
      <c r="I717" s="31"/>
      <c r="K717" s="31"/>
      <c r="L717" s="31"/>
      <c r="M717" s="31"/>
    </row>
    <row r="718">
      <c r="H718" s="31"/>
      <c r="I718" s="31"/>
      <c r="K718" s="31"/>
      <c r="L718" s="31"/>
      <c r="M718" s="31"/>
    </row>
    <row r="719">
      <c r="H719" s="31"/>
      <c r="I719" s="31"/>
      <c r="K719" s="31"/>
      <c r="L719" s="31"/>
      <c r="M719" s="31"/>
    </row>
    <row r="720">
      <c r="H720" s="31"/>
      <c r="I720" s="31"/>
      <c r="K720" s="31"/>
      <c r="L720" s="31"/>
      <c r="M720" s="31"/>
    </row>
    <row r="721">
      <c r="H721" s="31"/>
      <c r="I721" s="31"/>
      <c r="K721" s="31"/>
      <c r="L721" s="31"/>
      <c r="M721" s="31"/>
    </row>
    <row r="722">
      <c r="H722" s="31"/>
      <c r="I722" s="31"/>
      <c r="K722" s="31"/>
      <c r="L722" s="31"/>
      <c r="M722" s="31"/>
    </row>
    <row r="723">
      <c r="H723" s="31"/>
      <c r="I723" s="31"/>
      <c r="K723" s="31"/>
      <c r="L723" s="31"/>
      <c r="M723" s="31"/>
    </row>
    <row r="724">
      <c r="H724" s="31"/>
      <c r="I724" s="31"/>
      <c r="K724" s="31"/>
      <c r="L724" s="31"/>
      <c r="M724" s="31"/>
    </row>
    <row r="725">
      <c r="H725" s="31"/>
      <c r="I725" s="31"/>
      <c r="K725" s="31"/>
      <c r="L725" s="31"/>
      <c r="M725" s="31"/>
    </row>
    <row r="726">
      <c r="H726" s="31"/>
      <c r="I726" s="31"/>
      <c r="K726" s="31"/>
      <c r="L726" s="31"/>
      <c r="M726" s="31"/>
    </row>
    <row r="727">
      <c r="H727" s="31"/>
      <c r="I727" s="31"/>
      <c r="K727" s="31"/>
      <c r="L727" s="31"/>
      <c r="M727" s="31"/>
    </row>
    <row r="728">
      <c r="H728" s="31"/>
      <c r="I728" s="31"/>
      <c r="K728" s="31"/>
      <c r="L728" s="31"/>
      <c r="M728" s="31"/>
    </row>
    <row r="729">
      <c r="H729" s="31"/>
      <c r="I729" s="31"/>
      <c r="K729" s="31"/>
      <c r="L729" s="31"/>
      <c r="M729" s="31"/>
    </row>
    <row r="730">
      <c r="H730" s="31"/>
      <c r="I730" s="31"/>
      <c r="K730" s="31"/>
      <c r="L730" s="31"/>
      <c r="M730" s="31"/>
    </row>
    <row r="731">
      <c r="H731" s="31"/>
      <c r="I731" s="31"/>
      <c r="K731" s="31"/>
      <c r="L731" s="31"/>
      <c r="M731" s="31"/>
    </row>
    <row r="732">
      <c r="H732" s="31"/>
      <c r="I732" s="31"/>
      <c r="K732" s="31"/>
      <c r="L732" s="31"/>
      <c r="M732" s="31"/>
    </row>
    <row r="733">
      <c r="H733" s="31"/>
      <c r="I733" s="31"/>
      <c r="K733" s="31"/>
      <c r="L733" s="31"/>
      <c r="M733" s="31"/>
    </row>
    <row r="734">
      <c r="H734" s="31"/>
      <c r="I734" s="31"/>
      <c r="K734" s="31"/>
      <c r="L734" s="31"/>
      <c r="M734" s="31"/>
    </row>
    <row r="735">
      <c r="H735" s="31"/>
      <c r="I735" s="31"/>
      <c r="K735" s="31"/>
      <c r="L735" s="31"/>
      <c r="M735" s="31"/>
    </row>
    <row r="736">
      <c r="H736" s="31"/>
      <c r="I736" s="31"/>
      <c r="K736" s="31"/>
      <c r="L736" s="31"/>
      <c r="M736" s="31"/>
    </row>
    <row r="737">
      <c r="H737" s="31"/>
      <c r="I737" s="31"/>
      <c r="K737" s="31"/>
      <c r="L737" s="31"/>
      <c r="M737" s="31"/>
    </row>
    <row r="738">
      <c r="H738" s="31"/>
      <c r="I738" s="31"/>
      <c r="K738" s="31"/>
      <c r="L738" s="31"/>
      <c r="M738" s="31"/>
    </row>
    <row r="739">
      <c r="H739" s="31"/>
      <c r="I739" s="31"/>
      <c r="K739" s="31"/>
      <c r="L739" s="31"/>
      <c r="M739" s="31"/>
    </row>
    <row r="740">
      <c r="H740" s="31"/>
      <c r="I740" s="31"/>
      <c r="K740" s="31"/>
      <c r="L740" s="31"/>
      <c r="M740" s="31"/>
    </row>
    <row r="741">
      <c r="H741" s="31"/>
      <c r="I741" s="31"/>
      <c r="K741" s="31"/>
      <c r="L741" s="31"/>
      <c r="M741" s="31"/>
    </row>
    <row r="742">
      <c r="H742" s="31"/>
      <c r="I742" s="31"/>
      <c r="K742" s="31"/>
      <c r="L742" s="31"/>
      <c r="M742" s="31"/>
    </row>
    <row r="743">
      <c r="H743" s="31"/>
      <c r="I743" s="31"/>
      <c r="K743" s="31"/>
      <c r="L743" s="31"/>
      <c r="M743" s="31"/>
    </row>
    <row r="744">
      <c r="H744" s="31"/>
      <c r="I744" s="31"/>
      <c r="K744" s="31"/>
      <c r="L744" s="31"/>
      <c r="M744" s="31"/>
    </row>
    <row r="745">
      <c r="H745" s="31"/>
      <c r="I745" s="31"/>
      <c r="K745" s="31"/>
      <c r="L745" s="31"/>
      <c r="M745" s="31"/>
    </row>
    <row r="746">
      <c r="H746" s="31"/>
      <c r="I746" s="31"/>
      <c r="K746" s="31"/>
      <c r="L746" s="31"/>
      <c r="M746" s="31"/>
    </row>
    <row r="747">
      <c r="H747" s="31"/>
      <c r="I747" s="31"/>
      <c r="K747" s="31"/>
      <c r="L747" s="31"/>
      <c r="M747" s="31"/>
    </row>
    <row r="748">
      <c r="H748" s="31"/>
      <c r="I748" s="31"/>
      <c r="K748" s="31"/>
      <c r="L748" s="31"/>
      <c r="M748" s="31"/>
    </row>
    <row r="749">
      <c r="H749" s="31"/>
      <c r="I749" s="31"/>
      <c r="K749" s="31"/>
      <c r="L749" s="31"/>
      <c r="M749" s="31"/>
    </row>
    <row r="750">
      <c r="H750" s="31"/>
      <c r="I750" s="31"/>
      <c r="K750" s="31"/>
      <c r="L750" s="31"/>
      <c r="M750" s="31"/>
    </row>
    <row r="751">
      <c r="H751" s="31"/>
      <c r="I751" s="31"/>
      <c r="K751" s="31"/>
      <c r="L751" s="31"/>
      <c r="M751" s="31"/>
    </row>
    <row r="752">
      <c r="H752" s="31"/>
      <c r="I752" s="31"/>
      <c r="K752" s="31"/>
      <c r="L752" s="31"/>
      <c r="M752" s="31"/>
    </row>
    <row r="753">
      <c r="H753" s="31"/>
      <c r="I753" s="31"/>
      <c r="K753" s="31"/>
      <c r="L753" s="31"/>
      <c r="M753" s="31"/>
    </row>
    <row r="754">
      <c r="H754" s="31"/>
      <c r="I754" s="31"/>
      <c r="K754" s="31"/>
      <c r="L754" s="31"/>
      <c r="M754" s="31"/>
    </row>
    <row r="755">
      <c r="H755" s="31"/>
      <c r="I755" s="31"/>
      <c r="K755" s="31"/>
      <c r="L755" s="31"/>
      <c r="M755" s="31"/>
    </row>
    <row r="756">
      <c r="H756" s="31"/>
      <c r="I756" s="31"/>
      <c r="K756" s="31"/>
      <c r="L756" s="31"/>
      <c r="M756" s="31"/>
    </row>
    <row r="757">
      <c r="H757" s="31"/>
      <c r="I757" s="31"/>
      <c r="K757" s="31"/>
      <c r="L757" s="31"/>
      <c r="M757" s="31"/>
    </row>
    <row r="758">
      <c r="H758" s="31"/>
      <c r="I758" s="31"/>
      <c r="K758" s="31"/>
      <c r="L758" s="31"/>
      <c r="M758" s="31"/>
    </row>
    <row r="759">
      <c r="H759" s="31"/>
      <c r="I759" s="31"/>
      <c r="K759" s="31"/>
      <c r="L759" s="31"/>
      <c r="M759" s="31"/>
    </row>
    <row r="760">
      <c r="H760" s="31"/>
      <c r="I760" s="31"/>
      <c r="K760" s="31"/>
      <c r="L760" s="31"/>
      <c r="M760" s="31"/>
    </row>
    <row r="761">
      <c r="H761" s="31"/>
      <c r="I761" s="31"/>
      <c r="K761" s="31"/>
      <c r="L761" s="31"/>
      <c r="M761" s="31"/>
    </row>
    <row r="762">
      <c r="H762" s="31"/>
      <c r="I762" s="31"/>
      <c r="K762" s="31"/>
      <c r="L762" s="31"/>
      <c r="M762" s="31"/>
    </row>
    <row r="763">
      <c r="H763" s="31"/>
      <c r="I763" s="31"/>
      <c r="K763" s="31"/>
      <c r="L763" s="31"/>
      <c r="M763" s="31"/>
    </row>
    <row r="764">
      <c r="H764" s="31"/>
      <c r="I764" s="31"/>
      <c r="K764" s="31"/>
      <c r="L764" s="31"/>
      <c r="M764" s="31"/>
    </row>
    <row r="765">
      <c r="H765" s="31"/>
      <c r="I765" s="31"/>
      <c r="K765" s="31"/>
      <c r="L765" s="31"/>
      <c r="M765" s="31"/>
    </row>
    <row r="766">
      <c r="H766" s="31"/>
      <c r="I766" s="31"/>
      <c r="K766" s="31"/>
      <c r="L766" s="31"/>
      <c r="M766" s="31"/>
    </row>
    <row r="767">
      <c r="H767" s="31"/>
      <c r="I767" s="31"/>
      <c r="K767" s="31"/>
      <c r="L767" s="31"/>
      <c r="M767" s="31"/>
    </row>
    <row r="768">
      <c r="H768" s="31"/>
      <c r="I768" s="31"/>
      <c r="K768" s="31"/>
      <c r="L768" s="31"/>
      <c r="M768" s="31"/>
    </row>
    <row r="769">
      <c r="H769" s="31"/>
      <c r="I769" s="31"/>
      <c r="K769" s="31"/>
      <c r="L769" s="31"/>
      <c r="M769" s="31"/>
    </row>
    <row r="770">
      <c r="H770" s="31"/>
      <c r="I770" s="31"/>
      <c r="K770" s="31"/>
      <c r="L770" s="31"/>
      <c r="M770" s="31"/>
    </row>
    <row r="771">
      <c r="H771" s="31"/>
      <c r="I771" s="31"/>
      <c r="K771" s="31"/>
      <c r="L771" s="31"/>
      <c r="M771" s="31"/>
    </row>
    <row r="772">
      <c r="H772" s="31"/>
      <c r="I772" s="31"/>
      <c r="K772" s="31"/>
      <c r="L772" s="31"/>
      <c r="M772" s="31"/>
    </row>
    <row r="773">
      <c r="H773" s="31"/>
      <c r="I773" s="31"/>
      <c r="K773" s="31"/>
      <c r="L773" s="31"/>
      <c r="M773" s="31"/>
    </row>
    <row r="774">
      <c r="H774" s="31"/>
      <c r="I774" s="31"/>
      <c r="K774" s="31"/>
      <c r="L774" s="31"/>
      <c r="M774" s="31"/>
    </row>
    <row r="775">
      <c r="H775" s="31"/>
      <c r="I775" s="31"/>
      <c r="K775" s="31"/>
      <c r="L775" s="31"/>
      <c r="M775" s="31"/>
    </row>
    <row r="776">
      <c r="H776" s="31"/>
      <c r="I776" s="31"/>
      <c r="K776" s="31"/>
      <c r="L776" s="31"/>
      <c r="M776" s="31"/>
    </row>
    <row r="777">
      <c r="H777" s="31"/>
      <c r="I777" s="31"/>
      <c r="K777" s="31"/>
      <c r="L777" s="31"/>
      <c r="M777" s="31"/>
    </row>
    <row r="778">
      <c r="H778" s="31"/>
      <c r="I778" s="31"/>
      <c r="K778" s="31"/>
      <c r="L778" s="31"/>
      <c r="M778" s="31"/>
    </row>
    <row r="779">
      <c r="H779" s="31"/>
      <c r="I779" s="31"/>
      <c r="K779" s="31"/>
      <c r="L779" s="31"/>
      <c r="M779" s="31"/>
    </row>
    <row r="780">
      <c r="H780" s="31"/>
      <c r="I780" s="31"/>
      <c r="K780" s="31"/>
      <c r="L780" s="31"/>
      <c r="M780" s="31"/>
    </row>
    <row r="781">
      <c r="H781" s="31"/>
      <c r="I781" s="31"/>
      <c r="K781" s="31"/>
      <c r="L781" s="31"/>
      <c r="M781" s="31"/>
    </row>
    <row r="782">
      <c r="H782" s="31"/>
      <c r="I782" s="31"/>
      <c r="K782" s="31"/>
      <c r="L782" s="31"/>
      <c r="M782" s="31"/>
    </row>
    <row r="783">
      <c r="H783" s="31"/>
      <c r="I783" s="31"/>
      <c r="K783" s="31"/>
      <c r="L783" s="31"/>
      <c r="M783" s="31"/>
    </row>
    <row r="784">
      <c r="H784" s="31"/>
      <c r="I784" s="31"/>
      <c r="K784" s="31"/>
      <c r="L784" s="31"/>
      <c r="M784" s="31"/>
    </row>
    <row r="785">
      <c r="H785" s="31"/>
      <c r="I785" s="31"/>
      <c r="K785" s="31"/>
      <c r="L785" s="31"/>
      <c r="M785" s="31"/>
    </row>
    <row r="786">
      <c r="H786" s="31"/>
      <c r="I786" s="31"/>
      <c r="K786" s="31"/>
      <c r="L786" s="31"/>
      <c r="M786" s="31"/>
    </row>
    <row r="787">
      <c r="H787" s="31"/>
      <c r="I787" s="31"/>
      <c r="K787" s="31"/>
      <c r="L787" s="31"/>
      <c r="M787" s="31"/>
    </row>
    <row r="788">
      <c r="H788" s="31"/>
      <c r="I788" s="31"/>
      <c r="K788" s="31"/>
      <c r="L788" s="31"/>
      <c r="M788" s="31"/>
    </row>
    <row r="789">
      <c r="H789" s="31"/>
      <c r="I789" s="31"/>
      <c r="K789" s="31"/>
      <c r="L789" s="31"/>
      <c r="M789" s="31"/>
    </row>
    <row r="790">
      <c r="H790" s="31"/>
      <c r="I790" s="31"/>
      <c r="K790" s="31"/>
      <c r="L790" s="31"/>
      <c r="M790" s="31"/>
    </row>
    <row r="791">
      <c r="H791" s="31"/>
      <c r="I791" s="31"/>
      <c r="K791" s="31"/>
      <c r="L791" s="31"/>
      <c r="M791" s="31"/>
    </row>
    <row r="792">
      <c r="H792" s="31"/>
      <c r="I792" s="31"/>
      <c r="K792" s="31"/>
      <c r="L792" s="31"/>
      <c r="M792" s="31"/>
    </row>
    <row r="793">
      <c r="H793" s="31"/>
      <c r="I793" s="31"/>
      <c r="K793" s="31"/>
      <c r="L793" s="31"/>
      <c r="M793" s="31"/>
    </row>
    <row r="794">
      <c r="H794" s="31"/>
      <c r="I794" s="31"/>
      <c r="K794" s="31"/>
      <c r="L794" s="31"/>
      <c r="M794" s="31"/>
    </row>
    <row r="795">
      <c r="H795" s="31"/>
      <c r="I795" s="31"/>
      <c r="K795" s="31"/>
      <c r="L795" s="31"/>
      <c r="M795" s="31"/>
    </row>
    <row r="796">
      <c r="H796" s="31"/>
      <c r="I796" s="31"/>
      <c r="K796" s="31"/>
      <c r="L796" s="31"/>
      <c r="M796" s="31"/>
    </row>
    <row r="797">
      <c r="H797" s="31"/>
      <c r="I797" s="31"/>
      <c r="K797" s="31"/>
      <c r="L797" s="31"/>
      <c r="M797" s="31"/>
    </row>
    <row r="798">
      <c r="H798" s="31"/>
      <c r="I798" s="31"/>
      <c r="K798" s="31"/>
      <c r="L798" s="31"/>
      <c r="M798" s="31"/>
    </row>
    <row r="799">
      <c r="H799" s="31"/>
      <c r="I799" s="31"/>
      <c r="K799" s="31"/>
      <c r="L799" s="31"/>
      <c r="M799" s="31"/>
    </row>
    <row r="800">
      <c r="H800" s="31"/>
      <c r="I800" s="31"/>
      <c r="K800" s="31"/>
      <c r="L800" s="31"/>
      <c r="M800" s="31"/>
    </row>
    <row r="801">
      <c r="H801" s="31"/>
      <c r="I801" s="31"/>
      <c r="K801" s="31"/>
      <c r="L801" s="31"/>
      <c r="M801" s="31"/>
    </row>
    <row r="802">
      <c r="H802" s="31"/>
      <c r="I802" s="31"/>
      <c r="K802" s="31"/>
      <c r="L802" s="31"/>
      <c r="M802" s="31"/>
    </row>
    <row r="803">
      <c r="H803" s="31"/>
      <c r="I803" s="31"/>
      <c r="K803" s="31"/>
      <c r="L803" s="31"/>
      <c r="M803" s="31"/>
    </row>
    <row r="804">
      <c r="H804" s="31"/>
      <c r="I804" s="31"/>
      <c r="K804" s="31"/>
      <c r="L804" s="31"/>
      <c r="M804" s="31"/>
    </row>
    <row r="805">
      <c r="H805" s="31"/>
      <c r="I805" s="31"/>
      <c r="K805" s="31"/>
      <c r="L805" s="31"/>
      <c r="M805" s="31"/>
    </row>
    <row r="806">
      <c r="H806" s="31"/>
      <c r="I806" s="31"/>
      <c r="K806" s="31"/>
      <c r="L806" s="31"/>
      <c r="M806" s="31"/>
    </row>
    <row r="807">
      <c r="H807" s="31"/>
      <c r="I807" s="31"/>
      <c r="K807" s="31"/>
      <c r="L807" s="31"/>
      <c r="M807" s="31"/>
    </row>
    <row r="808">
      <c r="H808" s="31"/>
      <c r="I808" s="31"/>
      <c r="K808" s="31"/>
      <c r="L808" s="31"/>
      <c r="M808" s="31"/>
    </row>
    <row r="809">
      <c r="H809" s="31"/>
      <c r="I809" s="31"/>
      <c r="K809" s="31"/>
      <c r="L809" s="31"/>
      <c r="M809" s="31"/>
    </row>
    <row r="810">
      <c r="H810" s="31"/>
      <c r="I810" s="31"/>
      <c r="K810" s="31"/>
      <c r="L810" s="31"/>
      <c r="M810" s="31"/>
    </row>
    <row r="811">
      <c r="H811" s="31"/>
      <c r="I811" s="31"/>
      <c r="K811" s="31"/>
      <c r="L811" s="31"/>
      <c r="M811" s="31"/>
    </row>
    <row r="812">
      <c r="H812" s="31"/>
      <c r="I812" s="31"/>
      <c r="K812" s="31"/>
      <c r="L812" s="31"/>
      <c r="M812" s="31"/>
    </row>
    <row r="813">
      <c r="H813" s="31"/>
      <c r="I813" s="31"/>
      <c r="K813" s="31"/>
      <c r="L813" s="31"/>
      <c r="M813" s="31"/>
    </row>
    <row r="814">
      <c r="H814" s="31"/>
      <c r="I814" s="31"/>
      <c r="K814" s="31"/>
      <c r="L814" s="31"/>
      <c r="M814" s="31"/>
    </row>
    <row r="815">
      <c r="H815" s="31"/>
      <c r="I815" s="31"/>
      <c r="K815" s="31"/>
      <c r="L815" s="31"/>
      <c r="M815" s="31"/>
    </row>
    <row r="816">
      <c r="H816" s="31"/>
      <c r="I816" s="31"/>
      <c r="K816" s="31"/>
      <c r="L816" s="31"/>
      <c r="M816" s="31"/>
    </row>
    <row r="817">
      <c r="H817" s="31"/>
      <c r="I817" s="31"/>
      <c r="K817" s="31"/>
      <c r="L817" s="31"/>
      <c r="M817" s="31"/>
    </row>
    <row r="818">
      <c r="H818" s="31"/>
      <c r="I818" s="31"/>
      <c r="K818" s="31"/>
      <c r="L818" s="31"/>
      <c r="M818" s="31"/>
    </row>
    <row r="819">
      <c r="H819" s="31"/>
      <c r="I819" s="31"/>
      <c r="K819" s="31"/>
      <c r="L819" s="31"/>
      <c r="M819" s="31"/>
    </row>
    <row r="820">
      <c r="H820" s="31"/>
      <c r="I820" s="31"/>
      <c r="K820" s="31"/>
      <c r="L820" s="31"/>
      <c r="M820" s="31"/>
    </row>
    <row r="821">
      <c r="H821" s="31"/>
      <c r="I821" s="31"/>
      <c r="K821" s="31"/>
      <c r="L821" s="31"/>
      <c r="M821" s="31"/>
    </row>
    <row r="822">
      <c r="H822" s="31"/>
      <c r="I822" s="31"/>
      <c r="K822" s="31"/>
      <c r="L822" s="31"/>
      <c r="M822" s="31"/>
    </row>
    <row r="823">
      <c r="H823" s="31"/>
      <c r="I823" s="31"/>
      <c r="K823" s="31"/>
      <c r="L823" s="31"/>
      <c r="M823" s="31"/>
    </row>
    <row r="824">
      <c r="H824" s="31"/>
      <c r="I824" s="31"/>
      <c r="K824" s="31"/>
      <c r="L824" s="31"/>
      <c r="M824" s="31"/>
    </row>
    <row r="825">
      <c r="H825" s="31"/>
      <c r="I825" s="31"/>
      <c r="K825" s="31"/>
      <c r="L825" s="31"/>
      <c r="M825" s="31"/>
    </row>
    <row r="826">
      <c r="H826" s="31"/>
      <c r="I826" s="31"/>
      <c r="K826" s="31"/>
      <c r="L826" s="31"/>
      <c r="M826" s="31"/>
    </row>
    <row r="827">
      <c r="H827" s="31"/>
      <c r="I827" s="31"/>
      <c r="K827" s="31"/>
      <c r="L827" s="31"/>
      <c r="M827" s="31"/>
    </row>
    <row r="828">
      <c r="H828" s="31"/>
      <c r="I828" s="31"/>
      <c r="K828" s="31"/>
      <c r="L828" s="31"/>
      <c r="M828" s="31"/>
    </row>
    <row r="829">
      <c r="H829" s="31"/>
      <c r="I829" s="31"/>
      <c r="K829" s="31"/>
      <c r="L829" s="31"/>
      <c r="M829" s="31"/>
    </row>
    <row r="830">
      <c r="H830" s="31"/>
      <c r="I830" s="31"/>
      <c r="K830" s="31"/>
      <c r="L830" s="31"/>
      <c r="M830" s="31"/>
    </row>
    <row r="831">
      <c r="H831" s="31"/>
      <c r="I831" s="31"/>
      <c r="K831" s="31"/>
      <c r="L831" s="31"/>
      <c r="M831" s="31"/>
    </row>
    <row r="832">
      <c r="H832" s="31"/>
      <c r="I832" s="31"/>
      <c r="K832" s="31"/>
      <c r="L832" s="31"/>
      <c r="M832" s="31"/>
    </row>
    <row r="833">
      <c r="H833" s="31"/>
      <c r="I833" s="31"/>
      <c r="K833" s="31"/>
      <c r="L833" s="31"/>
      <c r="M833" s="31"/>
    </row>
    <row r="834">
      <c r="H834" s="31"/>
      <c r="I834" s="31"/>
      <c r="K834" s="31"/>
      <c r="L834" s="31"/>
      <c r="M834" s="31"/>
    </row>
    <row r="835">
      <c r="H835" s="31"/>
      <c r="I835" s="31"/>
      <c r="K835" s="31"/>
      <c r="L835" s="31"/>
      <c r="M835" s="31"/>
    </row>
    <row r="836">
      <c r="H836" s="31"/>
      <c r="I836" s="31"/>
      <c r="K836" s="31"/>
      <c r="L836" s="31"/>
      <c r="M836" s="31"/>
    </row>
    <row r="837">
      <c r="H837" s="31"/>
      <c r="I837" s="31"/>
      <c r="K837" s="31"/>
      <c r="L837" s="31"/>
      <c r="M837" s="31"/>
    </row>
    <row r="838">
      <c r="H838" s="31"/>
      <c r="I838" s="31"/>
      <c r="K838" s="31"/>
      <c r="L838" s="31"/>
      <c r="M838" s="31"/>
    </row>
    <row r="839">
      <c r="H839" s="31"/>
      <c r="I839" s="31"/>
      <c r="K839" s="31"/>
      <c r="L839" s="31"/>
      <c r="M839" s="31"/>
    </row>
    <row r="840">
      <c r="H840" s="31"/>
      <c r="I840" s="31"/>
      <c r="K840" s="31"/>
      <c r="L840" s="31"/>
      <c r="M840" s="31"/>
    </row>
    <row r="841">
      <c r="H841" s="31"/>
      <c r="I841" s="31"/>
      <c r="K841" s="31"/>
      <c r="L841" s="31"/>
      <c r="M841" s="31"/>
    </row>
    <row r="842">
      <c r="H842" s="31"/>
      <c r="I842" s="31"/>
      <c r="K842" s="31"/>
      <c r="L842" s="31"/>
      <c r="M842" s="31"/>
    </row>
    <row r="843">
      <c r="H843" s="31"/>
      <c r="I843" s="31"/>
      <c r="K843" s="31"/>
      <c r="L843" s="31"/>
      <c r="M843" s="31"/>
    </row>
    <row r="844">
      <c r="H844" s="31"/>
      <c r="I844" s="31"/>
      <c r="K844" s="31"/>
      <c r="L844" s="31"/>
      <c r="M844" s="31"/>
    </row>
    <row r="845">
      <c r="H845" s="31"/>
      <c r="I845" s="31"/>
      <c r="K845" s="31"/>
      <c r="L845" s="31"/>
      <c r="M845" s="31"/>
    </row>
    <row r="846">
      <c r="H846" s="31"/>
      <c r="I846" s="31"/>
      <c r="K846" s="31"/>
      <c r="L846" s="31"/>
      <c r="M846" s="31"/>
    </row>
    <row r="847">
      <c r="H847" s="31"/>
      <c r="I847" s="31"/>
      <c r="K847" s="31"/>
      <c r="L847" s="31"/>
      <c r="M847" s="31"/>
    </row>
    <row r="848">
      <c r="H848" s="31"/>
      <c r="I848" s="31"/>
      <c r="K848" s="31"/>
      <c r="L848" s="31"/>
      <c r="M848" s="31"/>
    </row>
    <row r="849">
      <c r="H849" s="31"/>
      <c r="I849" s="31"/>
      <c r="K849" s="31"/>
      <c r="L849" s="31"/>
      <c r="M849" s="31"/>
    </row>
    <row r="850">
      <c r="H850" s="31"/>
      <c r="I850" s="31"/>
      <c r="K850" s="31"/>
      <c r="L850" s="31"/>
      <c r="M850" s="31"/>
    </row>
    <row r="851">
      <c r="H851" s="31"/>
      <c r="I851" s="31"/>
      <c r="K851" s="31"/>
      <c r="L851" s="31"/>
      <c r="M851" s="31"/>
    </row>
    <row r="852">
      <c r="H852" s="31"/>
      <c r="I852" s="31"/>
      <c r="K852" s="31"/>
      <c r="L852" s="31"/>
      <c r="M852" s="31"/>
    </row>
    <row r="853">
      <c r="H853" s="31"/>
      <c r="I853" s="31"/>
      <c r="K853" s="31"/>
      <c r="L853" s="31"/>
      <c r="M853" s="31"/>
    </row>
    <row r="854">
      <c r="H854" s="31"/>
      <c r="I854" s="31"/>
      <c r="K854" s="31"/>
      <c r="L854" s="31"/>
      <c r="M854" s="31"/>
    </row>
    <row r="855">
      <c r="H855" s="31"/>
      <c r="I855" s="31"/>
      <c r="K855" s="31"/>
      <c r="L855" s="31"/>
      <c r="M855" s="31"/>
    </row>
    <row r="856">
      <c r="H856" s="31"/>
      <c r="I856" s="31"/>
      <c r="K856" s="31"/>
      <c r="L856" s="31"/>
      <c r="M856" s="31"/>
    </row>
    <row r="857">
      <c r="H857" s="31"/>
      <c r="I857" s="31"/>
      <c r="K857" s="31"/>
      <c r="L857" s="31"/>
      <c r="M857" s="31"/>
    </row>
    <row r="858">
      <c r="H858" s="31"/>
      <c r="I858" s="31"/>
      <c r="K858" s="31"/>
      <c r="L858" s="31"/>
      <c r="M858" s="31"/>
    </row>
    <row r="859">
      <c r="H859" s="31"/>
      <c r="I859" s="31"/>
      <c r="K859" s="31"/>
      <c r="L859" s="31"/>
      <c r="M859" s="31"/>
    </row>
    <row r="860">
      <c r="H860" s="31"/>
      <c r="I860" s="31"/>
      <c r="K860" s="31"/>
      <c r="L860" s="31"/>
      <c r="M860" s="31"/>
    </row>
    <row r="861">
      <c r="H861" s="31"/>
      <c r="I861" s="31"/>
      <c r="K861" s="31"/>
      <c r="L861" s="31"/>
      <c r="M861" s="31"/>
    </row>
    <row r="862">
      <c r="H862" s="31"/>
      <c r="I862" s="31"/>
      <c r="K862" s="31"/>
      <c r="L862" s="31"/>
      <c r="M862" s="31"/>
    </row>
    <row r="863">
      <c r="H863" s="31"/>
      <c r="I863" s="31"/>
      <c r="K863" s="31"/>
      <c r="L863" s="31"/>
      <c r="M863" s="31"/>
    </row>
    <row r="864">
      <c r="H864" s="31"/>
      <c r="I864" s="31"/>
      <c r="K864" s="31"/>
      <c r="L864" s="31"/>
      <c r="M864" s="31"/>
    </row>
    <row r="865">
      <c r="H865" s="31"/>
      <c r="I865" s="31"/>
      <c r="K865" s="31"/>
      <c r="L865" s="31"/>
      <c r="M865" s="31"/>
    </row>
    <row r="866">
      <c r="H866" s="31"/>
      <c r="I866" s="31"/>
      <c r="K866" s="31"/>
      <c r="L866" s="31"/>
      <c r="M866" s="31"/>
    </row>
    <row r="867">
      <c r="H867" s="31"/>
      <c r="I867" s="31"/>
      <c r="K867" s="31"/>
      <c r="L867" s="31"/>
      <c r="M867" s="31"/>
    </row>
    <row r="868">
      <c r="H868" s="31"/>
      <c r="I868" s="31"/>
      <c r="K868" s="31"/>
      <c r="L868" s="31"/>
      <c r="M868" s="31"/>
    </row>
    <row r="869">
      <c r="H869" s="31"/>
      <c r="I869" s="31"/>
      <c r="K869" s="31"/>
      <c r="L869" s="31"/>
      <c r="M869" s="31"/>
    </row>
    <row r="870">
      <c r="H870" s="31"/>
      <c r="I870" s="31"/>
      <c r="K870" s="31"/>
      <c r="L870" s="31"/>
      <c r="M870" s="31"/>
    </row>
    <row r="871">
      <c r="H871" s="31"/>
      <c r="I871" s="31"/>
      <c r="K871" s="31"/>
      <c r="L871" s="31"/>
      <c r="M871" s="31"/>
    </row>
    <row r="872">
      <c r="H872" s="31"/>
      <c r="I872" s="31"/>
      <c r="K872" s="31"/>
      <c r="L872" s="31"/>
      <c r="M872" s="31"/>
    </row>
    <row r="873">
      <c r="H873" s="31"/>
      <c r="I873" s="31"/>
      <c r="K873" s="31"/>
      <c r="L873" s="31"/>
      <c r="M873" s="31"/>
    </row>
    <row r="874">
      <c r="H874" s="31"/>
      <c r="I874" s="31"/>
      <c r="K874" s="31"/>
      <c r="L874" s="31"/>
      <c r="M874" s="31"/>
    </row>
    <row r="875">
      <c r="H875" s="31"/>
      <c r="I875" s="31"/>
      <c r="K875" s="31"/>
      <c r="L875" s="31"/>
      <c r="M875" s="31"/>
    </row>
    <row r="876">
      <c r="H876" s="31"/>
      <c r="I876" s="31"/>
      <c r="K876" s="31"/>
      <c r="L876" s="31"/>
      <c r="M876" s="31"/>
    </row>
    <row r="877">
      <c r="H877" s="31"/>
      <c r="I877" s="31"/>
      <c r="K877" s="31"/>
      <c r="L877" s="31"/>
      <c r="M877" s="31"/>
    </row>
    <row r="878">
      <c r="H878" s="31"/>
      <c r="I878" s="31"/>
      <c r="K878" s="31"/>
      <c r="L878" s="31"/>
      <c r="M878" s="31"/>
    </row>
    <row r="879">
      <c r="H879" s="31"/>
      <c r="I879" s="31"/>
      <c r="K879" s="31"/>
      <c r="L879" s="31"/>
      <c r="M879" s="31"/>
    </row>
    <row r="880">
      <c r="H880" s="31"/>
      <c r="I880" s="31"/>
      <c r="K880" s="31"/>
      <c r="L880" s="31"/>
      <c r="M880" s="31"/>
    </row>
    <row r="881">
      <c r="H881" s="31"/>
      <c r="I881" s="31"/>
      <c r="K881" s="31"/>
      <c r="L881" s="31"/>
      <c r="M881" s="31"/>
    </row>
    <row r="882">
      <c r="H882" s="31"/>
      <c r="I882" s="31"/>
      <c r="K882" s="31"/>
      <c r="L882" s="31"/>
      <c r="M882" s="31"/>
    </row>
    <row r="883">
      <c r="H883" s="31"/>
      <c r="I883" s="31"/>
      <c r="K883" s="31"/>
      <c r="L883" s="31"/>
      <c r="M883" s="31"/>
    </row>
    <row r="884">
      <c r="H884" s="31"/>
      <c r="I884" s="31"/>
      <c r="K884" s="31"/>
      <c r="L884" s="31"/>
      <c r="M884" s="31"/>
    </row>
    <row r="885">
      <c r="H885" s="31"/>
      <c r="I885" s="31"/>
      <c r="K885" s="31"/>
      <c r="L885" s="31"/>
      <c r="M885" s="31"/>
    </row>
    <row r="886">
      <c r="H886" s="31"/>
      <c r="I886" s="31"/>
      <c r="K886" s="31"/>
      <c r="L886" s="31"/>
      <c r="M886" s="31"/>
    </row>
    <row r="887">
      <c r="H887" s="31"/>
      <c r="I887" s="31"/>
      <c r="K887" s="31"/>
      <c r="L887" s="31"/>
      <c r="M887" s="31"/>
    </row>
    <row r="888">
      <c r="H888" s="31"/>
      <c r="I888" s="31"/>
      <c r="K888" s="31"/>
      <c r="L888" s="31"/>
      <c r="M888" s="31"/>
    </row>
    <row r="889">
      <c r="H889" s="31"/>
      <c r="I889" s="31"/>
      <c r="K889" s="31"/>
      <c r="L889" s="31"/>
      <c r="M889" s="31"/>
    </row>
    <row r="890">
      <c r="H890" s="31"/>
      <c r="I890" s="31"/>
      <c r="K890" s="31"/>
      <c r="L890" s="31"/>
      <c r="M890" s="31"/>
    </row>
    <row r="891">
      <c r="H891" s="31"/>
      <c r="I891" s="31"/>
      <c r="K891" s="31"/>
      <c r="L891" s="31"/>
      <c r="M891" s="31"/>
    </row>
    <row r="892">
      <c r="H892" s="31"/>
      <c r="I892" s="31"/>
      <c r="K892" s="31"/>
      <c r="L892" s="31"/>
      <c r="M892" s="31"/>
    </row>
    <row r="893">
      <c r="H893" s="31"/>
      <c r="I893" s="31"/>
      <c r="K893" s="31"/>
      <c r="L893" s="31"/>
      <c r="M893" s="31"/>
    </row>
    <row r="894">
      <c r="H894" s="31"/>
      <c r="I894" s="31"/>
      <c r="K894" s="31"/>
      <c r="L894" s="31"/>
      <c r="M894" s="31"/>
    </row>
    <row r="895">
      <c r="H895" s="31"/>
      <c r="I895" s="31"/>
      <c r="K895" s="31"/>
      <c r="L895" s="31"/>
      <c r="M895" s="31"/>
    </row>
    <row r="896">
      <c r="H896" s="31"/>
      <c r="I896" s="31"/>
      <c r="K896" s="31"/>
      <c r="L896" s="31"/>
      <c r="M896" s="31"/>
    </row>
    <row r="897">
      <c r="H897" s="31"/>
      <c r="I897" s="31"/>
      <c r="K897" s="31"/>
      <c r="L897" s="31"/>
      <c r="M897" s="31"/>
    </row>
    <row r="898">
      <c r="H898" s="31"/>
      <c r="I898" s="31"/>
      <c r="K898" s="31"/>
      <c r="L898" s="31"/>
      <c r="M898" s="31"/>
    </row>
    <row r="899">
      <c r="H899" s="31"/>
      <c r="I899" s="31"/>
      <c r="K899" s="31"/>
      <c r="L899" s="31"/>
      <c r="M899" s="31"/>
    </row>
    <row r="900">
      <c r="H900" s="31"/>
      <c r="I900" s="31"/>
      <c r="K900" s="31"/>
      <c r="L900" s="31"/>
      <c r="M900" s="31"/>
    </row>
    <row r="901">
      <c r="H901" s="31"/>
      <c r="I901" s="31"/>
      <c r="K901" s="31"/>
      <c r="L901" s="31"/>
      <c r="M901" s="31"/>
    </row>
    <row r="902">
      <c r="H902" s="31"/>
      <c r="I902" s="31"/>
      <c r="K902" s="31"/>
      <c r="L902" s="31"/>
      <c r="M902" s="31"/>
    </row>
    <row r="903">
      <c r="H903" s="31"/>
      <c r="I903" s="31"/>
      <c r="K903" s="31"/>
      <c r="L903" s="31"/>
      <c r="M903" s="31"/>
    </row>
    <row r="904">
      <c r="H904" s="31"/>
      <c r="I904" s="31"/>
      <c r="K904" s="31"/>
      <c r="L904" s="31"/>
      <c r="M904" s="31"/>
    </row>
    <row r="905">
      <c r="H905" s="31"/>
      <c r="I905" s="31"/>
      <c r="K905" s="31"/>
      <c r="L905" s="31"/>
      <c r="M905" s="31"/>
    </row>
    <row r="906">
      <c r="H906" s="31"/>
      <c r="I906" s="31"/>
      <c r="K906" s="31"/>
      <c r="L906" s="31"/>
      <c r="M906" s="31"/>
    </row>
    <row r="907">
      <c r="H907" s="31"/>
      <c r="I907" s="31"/>
      <c r="K907" s="31"/>
      <c r="L907" s="31"/>
      <c r="M907" s="31"/>
    </row>
    <row r="908">
      <c r="H908" s="31"/>
      <c r="I908" s="31"/>
      <c r="K908" s="31"/>
      <c r="L908" s="31"/>
      <c r="M908" s="31"/>
    </row>
    <row r="909">
      <c r="H909" s="31"/>
      <c r="I909" s="31"/>
      <c r="K909" s="31"/>
      <c r="L909" s="31"/>
      <c r="M909" s="31"/>
    </row>
    <row r="910">
      <c r="H910" s="31"/>
      <c r="I910" s="31"/>
      <c r="K910" s="31"/>
      <c r="L910" s="31"/>
      <c r="M910" s="31"/>
    </row>
    <row r="911">
      <c r="H911" s="31"/>
      <c r="I911" s="31"/>
      <c r="K911" s="31"/>
      <c r="L911" s="31"/>
      <c r="M911" s="31"/>
    </row>
    <row r="912">
      <c r="H912" s="31"/>
      <c r="I912" s="31"/>
      <c r="K912" s="31"/>
      <c r="L912" s="31"/>
      <c r="M912" s="31"/>
    </row>
    <row r="913">
      <c r="H913" s="31"/>
      <c r="I913" s="31"/>
      <c r="K913" s="31"/>
      <c r="L913" s="31"/>
      <c r="M913" s="31"/>
    </row>
    <row r="914">
      <c r="H914" s="31"/>
      <c r="I914" s="31"/>
      <c r="K914" s="31"/>
      <c r="L914" s="31"/>
      <c r="M914" s="31"/>
    </row>
    <row r="915">
      <c r="H915" s="31"/>
      <c r="I915" s="31"/>
      <c r="K915" s="31"/>
      <c r="L915" s="31"/>
      <c r="M915" s="31"/>
    </row>
    <row r="916">
      <c r="H916" s="31"/>
      <c r="I916" s="31"/>
      <c r="K916" s="31"/>
      <c r="L916" s="31"/>
      <c r="M916" s="31"/>
    </row>
    <row r="917">
      <c r="H917" s="31"/>
      <c r="I917" s="31"/>
      <c r="K917" s="31"/>
      <c r="L917" s="31"/>
      <c r="M917" s="31"/>
    </row>
    <row r="918">
      <c r="H918" s="31"/>
      <c r="I918" s="31"/>
      <c r="K918" s="31"/>
      <c r="L918" s="31"/>
      <c r="M918" s="31"/>
    </row>
    <row r="919">
      <c r="H919" s="31"/>
      <c r="I919" s="31"/>
      <c r="K919" s="31"/>
      <c r="L919" s="31"/>
      <c r="M919" s="31"/>
    </row>
    <row r="920">
      <c r="H920" s="31"/>
      <c r="I920" s="31"/>
      <c r="K920" s="31"/>
      <c r="L920" s="31"/>
      <c r="M920" s="31"/>
    </row>
    <row r="921">
      <c r="H921" s="31"/>
      <c r="I921" s="31"/>
      <c r="K921" s="31"/>
      <c r="L921" s="31"/>
      <c r="M921" s="31"/>
    </row>
    <row r="922">
      <c r="H922" s="31"/>
      <c r="I922" s="31"/>
      <c r="K922" s="31"/>
      <c r="L922" s="31"/>
      <c r="M922" s="31"/>
    </row>
    <row r="923">
      <c r="H923" s="31"/>
      <c r="I923" s="31"/>
      <c r="K923" s="31"/>
      <c r="L923" s="31"/>
      <c r="M923" s="31"/>
    </row>
    <row r="924">
      <c r="H924" s="31"/>
      <c r="I924" s="31"/>
      <c r="K924" s="31"/>
      <c r="L924" s="31"/>
      <c r="M924" s="31"/>
    </row>
    <row r="925">
      <c r="H925" s="31"/>
      <c r="I925" s="31"/>
      <c r="K925" s="31"/>
      <c r="L925" s="31"/>
      <c r="M925" s="31"/>
    </row>
    <row r="926">
      <c r="H926" s="31"/>
      <c r="I926" s="31"/>
      <c r="K926" s="31"/>
      <c r="L926" s="31"/>
      <c r="M926" s="31"/>
    </row>
    <row r="927">
      <c r="H927" s="31"/>
      <c r="I927" s="31"/>
      <c r="K927" s="31"/>
      <c r="L927" s="31"/>
      <c r="M927" s="31"/>
    </row>
    <row r="928">
      <c r="H928" s="31"/>
      <c r="I928" s="31"/>
      <c r="K928" s="31"/>
      <c r="L928" s="31"/>
      <c r="M928" s="31"/>
    </row>
    <row r="929">
      <c r="H929" s="31"/>
      <c r="I929" s="31"/>
      <c r="K929" s="31"/>
      <c r="L929" s="31"/>
      <c r="M929" s="31"/>
    </row>
    <row r="930">
      <c r="H930" s="31"/>
      <c r="I930" s="31"/>
      <c r="K930" s="31"/>
      <c r="L930" s="31"/>
      <c r="M930" s="31"/>
    </row>
    <row r="931">
      <c r="H931" s="31"/>
      <c r="I931" s="31"/>
      <c r="K931" s="31"/>
      <c r="L931" s="31"/>
      <c r="M931" s="31"/>
    </row>
    <row r="932">
      <c r="H932" s="31"/>
      <c r="I932" s="31"/>
      <c r="K932" s="31"/>
      <c r="L932" s="31"/>
      <c r="M932" s="31"/>
    </row>
    <row r="933">
      <c r="H933" s="31"/>
      <c r="I933" s="31"/>
      <c r="K933" s="31"/>
      <c r="L933" s="31"/>
      <c r="M933" s="31"/>
    </row>
    <row r="934">
      <c r="H934" s="31"/>
      <c r="I934" s="31"/>
      <c r="K934" s="31"/>
      <c r="L934" s="31"/>
      <c r="M934" s="31"/>
    </row>
    <row r="935">
      <c r="H935" s="31"/>
      <c r="I935" s="31"/>
      <c r="K935" s="31"/>
      <c r="L935" s="31"/>
      <c r="M935" s="31"/>
    </row>
    <row r="936">
      <c r="H936" s="31"/>
      <c r="I936" s="31"/>
      <c r="K936" s="31"/>
      <c r="L936" s="31"/>
      <c r="M936" s="31"/>
    </row>
    <row r="937">
      <c r="H937" s="31"/>
      <c r="I937" s="31"/>
      <c r="K937" s="31"/>
      <c r="L937" s="31"/>
      <c r="M937" s="31"/>
    </row>
    <row r="938">
      <c r="H938" s="31"/>
      <c r="I938" s="31"/>
      <c r="K938" s="31"/>
      <c r="L938" s="31"/>
      <c r="M938" s="31"/>
    </row>
    <row r="939">
      <c r="H939" s="31"/>
      <c r="I939" s="31"/>
      <c r="K939" s="31"/>
      <c r="L939" s="31"/>
      <c r="M939" s="31"/>
    </row>
    <row r="940">
      <c r="H940" s="31"/>
      <c r="I940" s="31"/>
      <c r="K940" s="31"/>
      <c r="L940" s="31"/>
      <c r="M940" s="31"/>
    </row>
    <row r="941">
      <c r="H941" s="31"/>
      <c r="I941" s="31"/>
      <c r="K941" s="31"/>
      <c r="L941" s="31"/>
      <c r="M941" s="31"/>
    </row>
    <row r="942">
      <c r="H942" s="31"/>
      <c r="I942" s="31"/>
      <c r="K942" s="31"/>
      <c r="L942" s="31"/>
      <c r="M942" s="31"/>
    </row>
    <row r="943">
      <c r="H943" s="31"/>
      <c r="I943" s="31"/>
      <c r="K943" s="31"/>
      <c r="L943" s="31"/>
      <c r="M943" s="31"/>
    </row>
    <row r="944">
      <c r="H944" s="31"/>
      <c r="I944" s="31"/>
      <c r="K944" s="31"/>
      <c r="L944" s="31"/>
      <c r="M944" s="31"/>
    </row>
    <row r="945">
      <c r="H945" s="31"/>
      <c r="I945" s="31"/>
      <c r="K945" s="31"/>
      <c r="L945" s="31"/>
      <c r="M945" s="31"/>
    </row>
    <row r="946">
      <c r="H946" s="31"/>
      <c r="I946" s="31"/>
      <c r="K946" s="31"/>
      <c r="L946" s="31"/>
      <c r="M946" s="31"/>
    </row>
    <row r="947">
      <c r="H947" s="31"/>
      <c r="I947" s="31"/>
      <c r="K947" s="31"/>
      <c r="L947" s="31"/>
      <c r="M947" s="31"/>
    </row>
    <row r="948">
      <c r="H948" s="31"/>
      <c r="I948" s="31"/>
      <c r="K948" s="31"/>
      <c r="L948" s="31"/>
      <c r="M948" s="31"/>
    </row>
    <row r="949">
      <c r="H949" s="31"/>
      <c r="I949" s="31"/>
      <c r="K949" s="31"/>
      <c r="L949" s="31"/>
      <c r="M949" s="31"/>
    </row>
    <row r="950">
      <c r="H950" s="31"/>
      <c r="I950" s="31"/>
      <c r="K950" s="31"/>
      <c r="L950" s="31"/>
      <c r="M950" s="31"/>
    </row>
    <row r="951">
      <c r="H951" s="31"/>
      <c r="I951" s="31"/>
      <c r="K951" s="31"/>
      <c r="L951" s="31"/>
      <c r="M951" s="31"/>
    </row>
    <row r="952">
      <c r="H952" s="31"/>
      <c r="I952" s="31"/>
      <c r="K952" s="31"/>
      <c r="L952" s="31"/>
      <c r="M952" s="31"/>
    </row>
    <row r="953">
      <c r="H953" s="31"/>
      <c r="I953" s="31"/>
      <c r="K953" s="31"/>
      <c r="L953" s="31"/>
      <c r="M953" s="31"/>
    </row>
    <row r="954">
      <c r="H954" s="31"/>
      <c r="I954" s="31"/>
      <c r="K954" s="31"/>
      <c r="L954" s="31"/>
      <c r="M954" s="31"/>
    </row>
    <row r="955">
      <c r="H955" s="31"/>
      <c r="I955" s="31"/>
      <c r="K955" s="31"/>
      <c r="L955" s="31"/>
      <c r="M955" s="31"/>
    </row>
    <row r="956">
      <c r="H956" s="31"/>
      <c r="I956" s="31"/>
      <c r="K956" s="31"/>
      <c r="L956" s="31"/>
      <c r="M956" s="31"/>
    </row>
    <row r="957">
      <c r="H957" s="31"/>
      <c r="I957" s="31"/>
      <c r="K957" s="31"/>
      <c r="L957" s="31"/>
      <c r="M957" s="31"/>
    </row>
    <row r="958">
      <c r="H958" s="31"/>
      <c r="I958" s="31"/>
      <c r="K958" s="31"/>
      <c r="L958" s="31"/>
      <c r="M958" s="31"/>
    </row>
    <row r="959">
      <c r="H959" s="31"/>
      <c r="I959" s="31"/>
      <c r="K959" s="31"/>
      <c r="L959" s="31"/>
      <c r="M959" s="31"/>
    </row>
    <row r="960">
      <c r="H960" s="31"/>
      <c r="I960" s="31"/>
      <c r="K960" s="31"/>
      <c r="L960" s="31"/>
      <c r="M960" s="31"/>
    </row>
    <row r="961">
      <c r="H961" s="31"/>
      <c r="I961" s="31"/>
      <c r="K961" s="31"/>
      <c r="L961" s="31"/>
      <c r="M961" s="31"/>
    </row>
    <row r="962">
      <c r="H962" s="31"/>
      <c r="I962" s="31"/>
      <c r="K962" s="31"/>
      <c r="L962" s="31"/>
      <c r="M962" s="31"/>
    </row>
    <row r="963">
      <c r="H963" s="31"/>
      <c r="I963" s="31"/>
      <c r="K963" s="31"/>
      <c r="L963" s="31"/>
      <c r="M963" s="31"/>
    </row>
    <row r="964">
      <c r="H964" s="31"/>
      <c r="I964" s="31"/>
      <c r="K964" s="31"/>
      <c r="L964" s="31"/>
      <c r="M964" s="31"/>
    </row>
    <row r="965">
      <c r="H965" s="31"/>
      <c r="I965" s="31"/>
      <c r="K965" s="31"/>
      <c r="L965" s="31"/>
      <c r="M965" s="31"/>
    </row>
    <row r="966">
      <c r="H966" s="31"/>
      <c r="I966" s="31"/>
      <c r="K966" s="31"/>
      <c r="L966" s="31"/>
      <c r="M966" s="31"/>
    </row>
    <row r="967">
      <c r="H967" s="31"/>
      <c r="I967" s="31"/>
      <c r="K967" s="31"/>
      <c r="L967" s="31"/>
      <c r="M967" s="31"/>
    </row>
    <row r="968">
      <c r="H968" s="31"/>
      <c r="I968" s="31"/>
      <c r="K968" s="31"/>
      <c r="L968" s="31"/>
      <c r="M968" s="31"/>
    </row>
    <row r="969">
      <c r="H969" s="31"/>
      <c r="I969" s="31"/>
      <c r="K969" s="31"/>
      <c r="L969" s="31"/>
      <c r="M969" s="31"/>
    </row>
    <row r="970">
      <c r="H970" s="31"/>
      <c r="I970" s="31"/>
      <c r="K970" s="31"/>
      <c r="L970" s="31"/>
      <c r="M970" s="31"/>
    </row>
    <row r="971">
      <c r="H971" s="31"/>
      <c r="I971" s="31"/>
      <c r="K971" s="31"/>
      <c r="L971" s="31"/>
      <c r="M971" s="31"/>
    </row>
    <row r="972">
      <c r="H972" s="31"/>
      <c r="I972" s="31"/>
      <c r="K972" s="31"/>
      <c r="L972" s="31"/>
      <c r="M972" s="31"/>
    </row>
    <row r="973">
      <c r="H973" s="31"/>
      <c r="I973" s="31"/>
      <c r="K973" s="31"/>
      <c r="L973" s="31"/>
      <c r="M973" s="31"/>
    </row>
    <row r="974">
      <c r="H974" s="31"/>
      <c r="I974" s="31"/>
      <c r="K974" s="31"/>
      <c r="L974" s="31"/>
      <c r="M974" s="31"/>
    </row>
    <row r="975">
      <c r="H975" s="31"/>
      <c r="I975" s="31"/>
      <c r="K975" s="31"/>
      <c r="L975" s="31"/>
      <c r="M975" s="31"/>
    </row>
    <row r="976">
      <c r="H976" s="31"/>
      <c r="I976" s="31"/>
      <c r="K976" s="31"/>
      <c r="L976" s="31"/>
      <c r="M976" s="31"/>
    </row>
    <row r="977">
      <c r="H977" s="31"/>
      <c r="I977" s="31"/>
      <c r="K977" s="31"/>
      <c r="L977" s="31"/>
      <c r="M977" s="31"/>
    </row>
    <row r="978">
      <c r="H978" s="31"/>
      <c r="I978" s="31"/>
      <c r="K978" s="31"/>
      <c r="L978" s="31"/>
      <c r="M978" s="31"/>
    </row>
    <row r="979">
      <c r="H979" s="31"/>
      <c r="I979" s="31"/>
      <c r="K979" s="31"/>
      <c r="L979" s="31"/>
      <c r="M979" s="31"/>
    </row>
    <row r="980">
      <c r="H980" s="31"/>
      <c r="I980" s="31"/>
      <c r="K980" s="31"/>
      <c r="L980" s="31"/>
      <c r="M980" s="31"/>
    </row>
    <row r="981">
      <c r="H981" s="31"/>
      <c r="I981" s="31"/>
      <c r="K981" s="31"/>
      <c r="L981" s="31"/>
      <c r="M981" s="31"/>
    </row>
    <row r="982">
      <c r="H982" s="31"/>
      <c r="I982" s="31"/>
      <c r="K982" s="31"/>
      <c r="L982" s="31"/>
      <c r="M982" s="31"/>
    </row>
    <row r="983">
      <c r="H983" s="31"/>
      <c r="I983" s="31"/>
      <c r="K983" s="31"/>
      <c r="L983" s="31"/>
      <c r="M983" s="31"/>
    </row>
    <row r="984">
      <c r="H984" s="31"/>
      <c r="I984" s="31"/>
      <c r="K984" s="31"/>
      <c r="L984" s="31"/>
      <c r="M984" s="31"/>
    </row>
    <row r="985">
      <c r="H985" s="31"/>
      <c r="I985" s="31"/>
      <c r="K985" s="31"/>
      <c r="L985" s="31"/>
      <c r="M985" s="31"/>
    </row>
    <row r="986">
      <c r="H986" s="31"/>
      <c r="I986" s="31"/>
      <c r="K986" s="31"/>
      <c r="L986" s="31"/>
      <c r="M986" s="31"/>
    </row>
    <row r="987">
      <c r="H987" s="31"/>
      <c r="I987" s="31"/>
      <c r="K987" s="31"/>
      <c r="L987" s="31"/>
      <c r="M987" s="31"/>
    </row>
    <row r="988">
      <c r="H988" s="31"/>
      <c r="I988" s="31"/>
      <c r="K988" s="31"/>
      <c r="L988" s="31"/>
      <c r="M988" s="31"/>
    </row>
    <row r="989">
      <c r="H989" s="31"/>
      <c r="I989" s="31"/>
      <c r="K989" s="31"/>
      <c r="L989" s="31"/>
      <c r="M989" s="31"/>
    </row>
    <row r="990">
      <c r="H990" s="31"/>
      <c r="I990" s="31"/>
      <c r="K990" s="31"/>
      <c r="L990" s="31"/>
      <c r="M990" s="31"/>
    </row>
    <row r="991">
      <c r="H991" s="31"/>
      <c r="I991" s="31"/>
      <c r="K991" s="31"/>
      <c r="L991" s="31"/>
      <c r="M991" s="31"/>
    </row>
    <row r="992">
      <c r="H992" s="31"/>
      <c r="I992" s="31"/>
      <c r="K992" s="31"/>
      <c r="L992" s="31"/>
      <c r="M992" s="31"/>
    </row>
    <row r="993">
      <c r="H993" s="31"/>
      <c r="I993" s="31"/>
      <c r="K993" s="31"/>
      <c r="L993" s="31"/>
      <c r="M993" s="31"/>
    </row>
    <row r="994">
      <c r="H994" s="31"/>
      <c r="I994" s="31"/>
      <c r="K994" s="31"/>
      <c r="L994" s="31"/>
      <c r="M994" s="31"/>
    </row>
    <row r="995">
      <c r="H995" s="31"/>
      <c r="I995" s="31"/>
      <c r="K995" s="31"/>
      <c r="L995" s="31"/>
      <c r="M995" s="31"/>
    </row>
    <row r="996">
      <c r="H996" s="31"/>
      <c r="I996" s="31"/>
      <c r="K996" s="31"/>
      <c r="L996" s="31"/>
      <c r="M996" s="31"/>
    </row>
    <row r="997">
      <c r="H997" s="31"/>
      <c r="I997" s="31"/>
      <c r="K997" s="31"/>
      <c r="L997" s="31"/>
      <c r="M997" s="31"/>
    </row>
    <row r="998">
      <c r="H998" s="31"/>
      <c r="I998" s="31"/>
      <c r="K998" s="31"/>
      <c r="L998" s="31"/>
      <c r="M998" s="31"/>
    </row>
    <row r="999">
      <c r="H999" s="31"/>
      <c r="I999" s="31"/>
      <c r="K999" s="31"/>
      <c r="L999" s="31"/>
      <c r="M999" s="31"/>
    </row>
    <row r="1000">
      <c r="H1000" s="31"/>
      <c r="I1000" s="31"/>
      <c r="K1000" s="31"/>
      <c r="L1000" s="31"/>
      <c r="M1000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1"/>
</worksheet>
</file>