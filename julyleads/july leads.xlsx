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analysis" sheetId="2" r:id="rId6"/>
  </sheets>
  <definedNames>
    <definedName hidden="1" localSheetId="0" name="_xlnm._FilterDatabase">data!$A$1:$Z$1000</definedName>
  </definedNames>
  <calcPr/>
</workbook>
</file>

<file path=xl/sharedStrings.xml><?xml version="1.0" encoding="utf-8"?>
<sst xmlns="http://schemas.openxmlformats.org/spreadsheetml/2006/main" count="258" uniqueCount="142">
  <si>
    <t>Sr No</t>
  </si>
  <si>
    <t>Date</t>
  </si>
  <si>
    <t>Diffculties</t>
  </si>
  <si>
    <t>full_name</t>
  </si>
  <si>
    <t>phone</t>
  </si>
  <si>
    <t>city</t>
  </si>
  <si>
    <t>Remarks</t>
  </si>
  <si>
    <t>Convert or not converted</t>
  </si>
  <si>
    <t>1-11 july leads</t>
  </si>
  <si>
    <t>learning_difficulties</t>
  </si>
  <si>
    <t>Aaradhya pawar</t>
  </si>
  <si>
    <t>Mumbai</t>
  </si>
  <si>
    <t>Mother was busy on 1 st July</t>
  </si>
  <si>
    <t>Abid Tadvi</t>
  </si>
  <si>
    <t xml:space="preserve">Name of the child:Aadish 
Age: 10
Grade:5
Location: Antophill 
School : KV
Concern : 
Does not have any issue
</t>
  </si>
  <si>
    <t>Anagha Tawde</t>
  </si>
  <si>
    <t>Mumbai Thane west 400615</t>
  </si>
  <si>
    <t>Name of the child : Vanmayee
Age : 13
Special School
Location : Thane
Contact Number  919619608924
Reference :CLC
concern : Speech &amp; memorise
Speech  - Unclear
Sound pronocunication---- 20 July they can come for consultation</t>
  </si>
  <si>
    <t>school_complaints</t>
  </si>
  <si>
    <t>Anant Raut</t>
  </si>
  <si>
    <t>suchitraraut1973@gmail.com</t>
  </si>
  <si>
    <t>navi mumbai</t>
  </si>
  <si>
    <t>Ringing 06 July</t>
  </si>
  <si>
    <t>Name of the child : Swarit
Age :6
Grade:1
School : Ram sheth thakar
Location : Kharghar
Contact Number  919870701570
Reference : CLC Ad
concern : Writing issue
Lack of focus 
Lack of concentration
writing issue---- They cannot travel Nerul</t>
  </si>
  <si>
    <t>She said she will discuss with husband --- 08 July</t>
  </si>
  <si>
    <t>Ringing 10 July</t>
  </si>
  <si>
    <t>Busy on another call 11 July</t>
  </si>
  <si>
    <t>behavioral_issues</t>
  </si>
  <si>
    <t>Ashna Creates</t>
  </si>
  <si>
    <t>ashnamj181191@gmail.com</t>
  </si>
  <si>
    <t xml:space="preserve"> Bangalore</t>
  </si>
  <si>
    <t>Ringing 08 July</t>
  </si>
  <si>
    <t>Name of the child :Fatima
Age:3.5
Location: Bangalore
Contact Number  919839358613
Reference : CLC Ad
concern : Speech Clarity &amp; Behaviour issue
Behaviour 
speech Delay
clarity speech
hitting
pushing</t>
  </si>
  <si>
    <t>PGS was schedule with Dr Roja 09 July. Parents are inform to send few video. Later consultation can be schedule</t>
  </si>
  <si>
    <t>Parent Feedback :, actually me and my husband decided to take consultation in our city because online it's little hectic..10 July</t>
  </si>
  <si>
    <t>Benazir Sayyed</t>
  </si>
  <si>
    <t>sayyedbenazir83@gmail.com</t>
  </si>
  <si>
    <t>Ringing 7 July</t>
  </si>
  <si>
    <t>Dollyvikashsingh</t>
  </si>
  <si>
    <t>dollysinghh@gmail.com</t>
  </si>
  <si>
    <t>Mumbai Thane balkum</t>
  </si>
  <si>
    <t>mother was on her way to pick up her child from school, so she was unable to speak. She requested a callback at a later time. 09 July</t>
  </si>
  <si>
    <t>Name of the child: Advaik Singh
Age: 6
Location: Thane
Contact Number   919608286661
Reference: CLC Ad
concern:Behaviour issue
Stubborn
Hitting pushing
Does not listen
Shouts at times--- 10 July</t>
  </si>
  <si>
    <t>out of coverage 11 July</t>
  </si>
  <si>
    <t>Hemant Sampat</t>
  </si>
  <si>
    <t>sampat.hemant@yahoo.com</t>
  </si>
  <si>
    <t xml:space="preserve"> Goregaon</t>
  </si>
  <si>
    <t>Name of the child: Chirag
Age: 4 
Location: Goregaon
Contact Number :919819850075
Reference: CLC Ad
concern: Hyperactive
Hyperactive
Does not sit at one place
lack of concentation
writing issue
OT done for 3 Months
Friday  PGS</t>
  </si>
  <si>
    <t>Ringing - 10 July</t>
  </si>
  <si>
    <t>Ringing 11 July</t>
  </si>
  <si>
    <t>Joji Jacob</t>
  </si>
  <si>
    <t>Thane</t>
  </si>
  <si>
    <t>Busy in office</t>
  </si>
  <si>
    <t>Kavita</t>
  </si>
  <si>
    <t>Navi Mumbai (New Mumbai)</t>
  </si>
  <si>
    <t>Ringing 01 July</t>
  </si>
  <si>
    <t>Kiran Ranka</t>
  </si>
  <si>
    <t>rankakiran10@gmail.com</t>
  </si>
  <si>
    <t>Does not have any concern 06 July</t>
  </si>
  <si>
    <t>Manjari Gupta</t>
  </si>
  <si>
    <t>avaniguptagupta511@gmail.com</t>
  </si>
  <si>
    <t>Leh -Chembur</t>
  </si>
  <si>
    <t>Ringing 09 July</t>
  </si>
  <si>
    <t>Name of the child : Abhyan
Age : 7
Location : Kurla Nehru Nagar
Grade: 2 
School : Vivekanand
Contact Number 8779949437
Reference :CLC Ad
concern :writing isssue
writing issue
understanding issue
lack of concentration
school suggested counselling . Mother will discuss with father and inform</t>
  </si>
  <si>
    <t>After discussing with husband she said no 11 July</t>
  </si>
  <si>
    <t>Mohini Nayak</t>
  </si>
  <si>
    <t>mohininayak023@gmail.com</t>
  </si>
  <si>
    <t>Name of the child : Sneha
Age : 14
Grade:7
School : Aniruddha school Badlapur
Location : Badalpur
Contact Number  : 8767810001
Reference : Facebook
concern : Academic issue
Reading issue
Writing - Unable to copy from board
Tends to forgot
Take time to learn
IQ - test done 2 yrs before
Remedial class taken</t>
  </si>
  <si>
    <t xml:space="preserve">PGS was schedule with Dr Shweta Naidu 11 July. </t>
  </si>
  <si>
    <t>Consultation has been for  18 July Saturday at 12:30 pm</t>
  </si>
  <si>
    <t>Mukesh Panthri</t>
  </si>
  <si>
    <t>/</t>
  </si>
  <si>
    <t>mukeshpanthri25@gmail.com</t>
  </si>
  <si>
    <t>Pune</t>
  </si>
  <si>
    <t>Name of the child Tejas
Age:10
Location : Pune 
Contact Number  917529075894
Reference : CLCAd
concern : Mild Autism
Shows behavioural issues such as shouting and inappropriate smiling.
Currently undergoing OT and Behaviour Therapy. 06 July</t>
  </si>
  <si>
    <t>Ringing - 07 July</t>
  </si>
  <si>
    <t>Repeated leads : Please note that this is an old lead received on 06 July.</t>
  </si>
  <si>
    <t>Narsing Mali</t>
  </si>
  <si>
    <t>Father in office busy</t>
  </si>
  <si>
    <t>nasreen</t>
  </si>
  <si>
    <t>nasreen_jvd@yahoo.com</t>
  </si>
  <si>
    <t>Mira Bhayander</t>
  </si>
  <si>
    <t>Forwarded to voice mail</t>
  </si>
  <si>
    <t>Name of the child: Mohd Rayan
Age: 5.8
Grade: 1
School : Universal
Location: Mira Road
Contact Number : 95944 16099
Reference : CLC Ad
concern : Hyperactive
Class room - keeping walkin
Run in classroom... 10 July</t>
  </si>
  <si>
    <t xml:space="preserve"> Ringing 11 July</t>
  </si>
  <si>
    <t>Payal Vora</t>
  </si>
  <si>
    <t>Repeated lead which was received on 30 June</t>
  </si>
  <si>
    <t>Pratiksha Pratiksha</t>
  </si>
  <si>
    <t>pratikshachari555@gmail.com</t>
  </si>
  <si>
    <t>Banastarim- Goa</t>
  </si>
  <si>
    <t>Switch off 09 July</t>
  </si>
  <si>
    <t xml:space="preserve">Name of the child: Shyam Chari
Age: 12
Grade:5
Location: Goa
Contact Number : 918550916925
Reference: CLC Ad
concern: Academic issue
Delay speech 
OT -6 Month
Child has attended Special  school
writing
Sometimes unable to recognise alphabet
He copy from board
Comphresion issue
tend to forgot what he reads
IQ-82
PGS 7:00 PM
</t>
  </si>
  <si>
    <t>PGS was schedule with Dr Shweta Naidu on 10 July .Mother will be sending video 11 July</t>
  </si>
  <si>
    <t>Pravin Goilkar</t>
  </si>
  <si>
    <t>After 6:00 pm ask to call</t>
  </si>
  <si>
    <t>Prince peter</t>
  </si>
  <si>
    <t>priyapeter57@gmail.com</t>
  </si>
  <si>
    <t>Kota</t>
  </si>
  <si>
    <t xml:space="preserve">Name of the child Prince
Age : 6
Location Kota
Contact Number  917529075894
Reference
concern : Hyperactive
Lack of focus
study issue
Repeat command
writing issue
Does sit at one place
Jumping and climbing on sofa
</t>
  </si>
  <si>
    <t>Priyanka Kolambakar - Sarang</t>
  </si>
  <si>
    <t>Ringing 03 July</t>
  </si>
  <si>
    <t>Ruchi Rane</t>
  </si>
  <si>
    <t>Name of the child shourya Rane
Age 12
Grade: 5
Ryan Interantion School
Location chembur
Contact Number  =+919137391780/919867645230
Reference : CLC Ad
concern : Reading and Writing Issue....Mom will discuss and inform if required</t>
  </si>
  <si>
    <t>ruchi.rane79@gmail.com</t>
  </si>
  <si>
    <t>THis is a repeated lead which was received on 2 July ... 10 July</t>
  </si>
  <si>
    <t>Name of the child shourya Rane
Age 12
Grade: 5
Ryan Interantion School
Location chembur
Contact Number  =919867645230
Reference : CLC Ad
concern : Reading and Writing Issue....Mom will discuss and inform if required</t>
  </si>
  <si>
    <t>She will inform if required 10 July</t>
  </si>
  <si>
    <t>Shaikh</t>
  </si>
  <si>
    <t>shaikhraf28@gmail.com</t>
  </si>
  <si>
    <t>Sheetal Kamble</t>
  </si>
  <si>
    <t>sheetalanandkamble@gmail.com</t>
  </si>
  <si>
    <t>Repeated old enquiry which was received on 03 July</t>
  </si>
  <si>
    <t>Shivsevak saroj</t>
  </si>
  <si>
    <t>shivaay2209@gmail.com</t>
  </si>
  <si>
    <t>Vashi</t>
  </si>
  <si>
    <t>Test Lead</t>
  </si>
  <si>
    <t>Siddharth Sawant</t>
  </si>
  <si>
    <t>sidd00787@gmail.com</t>
  </si>
  <si>
    <t>Name of the child: Sudarshan Sawant
Age:10
Grade:5
School Su Laxmi Bai
Location : Thane
Contact Number  917506259177
Reference : CLC Ad
concern:writing issue
Father reports that the child is frequently receiving complaints from school.
child has difficulty with concentration and maintaining attention in class.
child is experiencing writing difficulties. Father was saying he was just enquiring</t>
  </si>
  <si>
    <t>Sonal Yadav</t>
  </si>
  <si>
    <t>Busy on another call 30 June</t>
  </si>
  <si>
    <t>Name of the child Ananay
Age :9
Grade:4
Shool : Nathshane
Location:Thane
Contact Number  919834450169
Reference : CLC Ad
concern : Lack of Interest in studies
Show not interest studioes
lack of oncertration
Nervous
Teacher suggested to check IQ
Parents are ready for consultation on 11 July</t>
  </si>
  <si>
    <t>She was asking for doctor profile and some time to confirm 08 July</t>
  </si>
  <si>
    <t>Call Decline 09 July</t>
  </si>
  <si>
    <t>Call decline 10 July</t>
  </si>
  <si>
    <t>Soni Gupta</t>
  </si>
  <si>
    <t xml:space="preserve">Name of the child : Trisha
Age :7
Location : Saika Naka Ghatkopar
Contact Number  919920003524
Reference : CLC Ad
concern :  shy by nature
Child is shy by nature.
Does not speak in school.
Mother will discuss the consultation with the father and inform us about their decision.
</t>
  </si>
  <si>
    <t>Mother Said they are looking for nearby centre 10 July</t>
  </si>
  <si>
    <t>Suvidha</t>
  </si>
  <si>
    <t>Navi Mumbai</t>
  </si>
  <si>
    <t>Swati Ambre</t>
  </si>
  <si>
    <t>swatiambre2@gmail.com</t>
  </si>
  <si>
    <t>Ringing - 04 July</t>
  </si>
  <si>
    <t>Tasmiya Shah</t>
  </si>
  <si>
    <t>Name of the child Zaid
Age: 6
Location: Kurla
Contact Number : 7208309456
Concerns: Down syndrome
Speech delay Speaks only single words.
Hyperactive
Throws objects
Walks independently
Still fed by the mother 
Medical History:
BERA test: Normal hearing
2D Echo (Heart): Normal----- Chembur CRC on 30 June</t>
  </si>
  <si>
    <t>Busy on another  call 02 July</t>
  </si>
  <si>
    <t>Overall lead quality of the data</t>
  </si>
  <si>
    <t xml:space="preserve">Genuine leads </t>
  </si>
  <si>
    <t>Low quality lead</t>
  </si>
  <si>
    <t>Repeated leads</t>
  </si>
  <si>
    <t>Convert leads</t>
  </si>
  <si>
    <t>Not convert leads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</si>
</sst>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u/>
      <color rgb="FF1155CC"/>
      <name val="Google Sans"/>
    </font>
    <font>
      <b/>
      <color theme="1"/>
      <name val="Google Sans"/>
    </font>
    <font>
      <color theme="1"/>
      <name val="Arial"/>
    </font>
    <font>
      <color theme="1"/>
      <name val="Arial"/>
      <scheme val="minor"/>
    </font>
    <font>
      <color theme="1"/>
      <name val="Google Sans"/>
    </font>
    <font>
      <color rgb="FFFFFFFF"/>
      <name val="Verdana"/>
    </font>
    <font>
      <color rgb="FFFFFFFF"/>
      <name val="Arial"/>
      <scheme val="minor"/>
    </font>
    <font>
      <color rgb="FFFFFFFF"/>
      <name val="Arial"/>
    </font>
  </fonts>
  <fills count="10">
    <fill>
      <patternFill patternType="none"/>
    </fill>
    <fill>
      <patternFill patternType="lightGray"/>
    </fill>
    <fill>
      <patternFill patternType="solid">
        <fgColor rgb="FFFFF2CC"/>
        <bgColor rgb="FFFFF2CC"/>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F4CCCC"/>
        <bgColor rgb="FFF4CCCC"/>
      </patternFill>
    </fill>
    <fill>
      <patternFill patternType="solid">
        <fgColor rgb="FFE69138"/>
        <bgColor rgb="FFE69138"/>
      </patternFill>
    </fill>
    <fill>
      <patternFill patternType="solid">
        <fgColor rgb="FFD5A6BD"/>
        <bgColor rgb="FFD5A6BD"/>
      </patternFill>
    </fill>
    <fill>
      <patternFill patternType="solid">
        <fgColor rgb="FF3D85C6"/>
        <bgColor rgb="FF3D85C6"/>
      </patternFill>
    </fill>
  </fills>
  <borders count="3">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Fill="1" applyFont="1"/>
    <xf borderId="0" fillId="2" fontId="2" numFmtId="0" xfId="0" applyFont="1"/>
    <xf borderId="0" fillId="2" fontId="2" numFmtId="0" xfId="0" applyAlignment="1" applyFont="1">
      <alignment readingOrder="0"/>
    </xf>
    <xf borderId="0" fillId="2" fontId="3" numFmtId="0" xfId="0" applyFont="1"/>
    <xf borderId="0" fillId="0" fontId="4" numFmtId="0" xfId="0" applyAlignment="1" applyFont="1">
      <alignment readingOrder="0"/>
    </xf>
    <xf borderId="0" fillId="0" fontId="5" numFmtId="0" xfId="0" applyAlignment="1" applyFont="1">
      <alignment vertical="bottom"/>
    </xf>
    <xf borderId="0" fillId="0" fontId="5" numFmtId="0" xfId="0" applyAlignment="1" applyFont="1">
      <alignment vertical="top"/>
    </xf>
    <xf borderId="0" fillId="0" fontId="3" numFmtId="0" xfId="0" applyAlignment="1" applyFont="1">
      <alignment vertical="bottom"/>
    </xf>
    <xf borderId="0" fillId="0" fontId="4" numFmtId="0" xfId="0" applyFont="1"/>
    <xf borderId="0" fillId="0" fontId="5" numFmtId="0" xfId="0" applyAlignment="1" applyFont="1">
      <alignment shrinkToFit="0" vertical="top" wrapText="1"/>
    </xf>
    <xf borderId="0" fillId="0" fontId="3" numFmtId="0" xfId="0" applyAlignment="1" applyFont="1">
      <alignment vertical="top"/>
    </xf>
    <xf borderId="0" fillId="0" fontId="5" numFmtId="0" xfId="0" applyAlignment="1" applyFont="1">
      <alignment shrinkToFit="0" vertical="bottom" wrapText="1"/>
    </xf>
    <xf borderId="0" fillId="3" fontId="5" numFmtId="0" xfId="0" applyAlignment="1" applyFill="1" applyFont="1">
      <alignment shrinkToFit="0" vertical="top" wrapText="1"/>
    </xf>
    <xf borderId="0" fillId="0" fontId="5" numFmtId="0" xfId="0" applyAlignment="1" applyFont="1">
      <alignment horizontal="right" shrinkToFit="0" vertical="top" wrapText="1"/>
    </xf>
    <xf borderId="0" fillId="4" fontId="5" numFmtId="0" xfId="0" applyAlignment="1" applyFill="1" applyFont="1">
      <alignment shrinkToFit="0" vertical="top" wrapText="1"/>
    </xf>
    <xf borderId="0" fillId="5" fontId="5" numFmtId="0" xfId="0" applyAlignment="1" applyFill="1" applyFont="1">
      <alignment shrinkToFit="0" vertical="top" wrapText="1"/>
    </xf>
    <xf borderId="0" fillId="6" fontId="5" numFmtId="0" xfId="0" applyAlignment="1" applyFill="1" applyFont="1">
      <alignment shrinkToFit="0" vertical="top" wrapText="1"/>
    </xf>
    <xf borderId="0" fillId="6" fontId="5" numFmtId="0" xfId="0" applyAlignment="1" applyFont="1">
      <alignment horizontal="right" shrinkToFit="0" vertical="top" wrapText="1"/>
    </xf>
    <xf borderId="0" fillId="6" fontId="3" numFmtId="0" xfId="0" applyAlignment="1" applyFont="1">
      <alignment vertical="top"/>
    </xf>
    <xf borderId="0" fillId="7" fontId="5" numFmtId="0" xfId="0" applyAlignment="1" applyFill="1" applyFont="1">
      <alignment shrinkToFit="0" vertical="top" wrapText="1"/>
    </xf>
    <xf borderId="0" fillId="8" fontId="5" numFmtId="0" xfId="0" applyAlignment="1" applyFill="1" applyFont="1">
      <alignment shrinkToFit="0" vertical="top" wrapText="1"/>
    </xf>
    <xf borderId="0" fillId="8" fontId="5" numFmtId="0" xfId="0" applyAlignment="1" applyFont="1">
      <alignment horizontal="right" shrinkToFit="0" vertical="top" wrapText="1"/>
    </xf>
    <xf borderId="0" fillId="8" fontId="3" numFmtId="0" xfId="0" applyAlignment="1" applyFont="1">
      <alignment vertical="top"/>
    </xf>
    <xf borderId="0" fillId="0" fontId="6" numFmtId="0" xfId="0" applyAlignment="1" applyFont="1">
      <alignment readingOrder="0"/>
    </xf>
    <xf borderId="0" fillId="0" fontId="4" numFmtId="0" xfId="0" applyAlignment="1" applyFont="1">
      <alignment horizontal="center" readingOrder="0"/>
    </xf>
    <xf borderId="1" fillId="9" fontId="6" numFmtId="0" xfId="0" applyAlignment="1" applyBorder="1" applyFill="1" applyFont="1">
      <alignment readingOrder="0"/>
    </xf>
    <xf borderId="2" fillId="9" fontId="7" numFmtId="0" xfId="0" applyAlignment="1" applyBorder="1" applyFont="1">
      <alignment horizontal="center" readingOrder="0"/>
    </xf>
    <xf borderId="2" fillId="0" fontId="4" numFmtId="0" xfId="0" applyAlignment="1" applyBorder="1" applyFont="1">
      <alignment horizontal="center" readingOrder="0"/>
    </xf>
    <xf borderId="2" fillId="0" fontId="4" numFmtId="0" xfId="0" applyAlignment="1" applyBorder="1" applyFont="1">
      <alignment horizontal="center"/>
    </xf>
    <xf borderId="0" fillId="0" fontId="8" numFmtId="0" xfId="0" applyAlignment="1" applyFont="1">
      <alignment horizontal="center" vertical="bottom"/>
    </xf>
    <xf borderId="0" fillId="0" fontId="3" numFmtId="0" xfId="0" applyAlignment="1" applyFont="1">
      <alignment horizontal="center" vertical="bottom"/>
    </xf>
    <xf borderId="0" fillId="0" fontId="4" numFmtId="0" xfId="0" applyAlignment="1" applyFont="1">
      <alignment horizontal="center"/>
    </xf>
  </cellXfs>
  <cellStyles count="1">
    <cellStyle xfId="0" name="Normal" builtinId="0"/>
  </cellStyles>
  <dxfs count="1">
    <dxf>
      <font/>
      <fill>
        <patternFill patternType="solid">
          <fgColor rgb="FFFF00FF"/>
          <bgColor rgb="FFFF00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3" t="s">
        <v>3</v>
      </c>
      <c r="E1" s="2" t="s">
        <v>4</v>
      </c>
      <c r="F1" s="2" t="s">
        <v>5</v>
      </c>
      <c r="G1" s="2" t="s">
        <v>6</v>
      </c>
      <c r="H1" s="4"/>
      <c r="I1" s="4"/>
      <c r="J1" s="4"/>
      <c r="K1" s="4"/>
      <c r="L1" s="4"/>
      <c r="M1" s="5" t="s">
        <v>7</v>
      </c>
    </row>
    <row r="2">
      <c r="A2" s="6">
        <v>4.0</v>
      </c>
      <c r="B2" s="6" t="s">
        <v>8</v>
      </c>
      <c r="C2" s="6" t="s">
        <v>9</v>
      </c>
      <c r="D2" s="6" t="s">
        <v>10</v>
      </c>
      <c r="E2" s="6">
        <f>+918356046947</f>
        <v>918356046947</v>
      </c>
      <c r="F2" s="6" t="s">
        <v>11</v>
      </c>
      <c r="G2" s="7" t="s">
        <v>12</v>
      </c>
      <c r="H2" s="8"/>
      <c r="I2" s="8"/>
      <c r="J2" s="8"/>
      <c r="K2" s="8"/>
      <c r="L2" s="8"/>
      <c r="M2" s="9" t="str">
        <f>IF(OR(COUNTIF(data!A2:L2,"*PGS*")&gt;0,COUNTIF(data!A2:L2,"*consultation*")&gt;0),"Converted","Not Converted")</f>
        <v>Not Converted</v>
      </c>
    </row>
    <row r="3">
      <c r="A3" s="6">
        <v>10.0</v>
      </c>
      <c r="B3" s="6" t="s">
        <v>8</v>
      </c>
      <c r="C3" s="6" t="s">
        <v>9</v>
      </c>
      <c r="D3" s="6" t="s">
        <v>13</v>
      </c>
      <c r="E3" s="6">
        <f>+919082289717</f>
        <v>919082289717</v>
      </c>
      <c r="F3" s="6" t="s">
        <v>11</v>
      </c>
      <c r="G3" s="10" t="s">
        <v>14</v>
      </c>
      <c r="H3" s="11"/>
      <c r="I3" s="8"/>
      <c r="J3" s="8"/>
      <c r="K3" s="8"/>
      <c r="L3" s="8"/>
      <c r="M3" s="9" t="str">
        <f>IF(OR(COUNTIF(data!A3:L3,"*PGS*"),COUNTIF(data!A3:L3,"*consultation*")),"Converted","Not Converted")</f>
        <v>Not Converted</v>
      </c>
    </row>
    <row r="4">
      <c r="A4" s="6">
        <v>15.0</v>
      </c>
      <c r="B4" s="6" t="s">
        <v>8</v>
      </c>
      <c r="C4" s="6" t="s">
        <v>9</v>
      </c>
      <c r="D4" s="6" t="s">
        <v>15</v>
      </c>
      <c r="E4" s="6">
        <f>+919619608924</f>
        <v>919619608924</v>
      </c>
      <c r="F4" s="12" t="s">
        <v>16</v>
      </c>
      <c r="G4" s="13" t="s">
        <v>17</v>
      </c>
      <c r="H4" s="11"/>
      <c r="I4" s="8"/>
      <c r="J4" s="8"/>
      <c r="K4" s="8"/>
      <c r="L4" s="8"/>
      <c r="M4" s="9" t="str">
        <f>IF(OR(COUNTIF(data!A4:L4,"*PGS*")&gt;0,COUNTIF(data!A4:L4,"*consultation*")&gt;0),"Converted","Not Converted")</f>
        <v>Converted</v>
      </c>
    </row>
    <row r="5">
      <c r="A5" s="6">
        <v>22.0</v>
      </c>
      <c r="B5" s="6" t="s">
        <v>8</v>
      </c>
      <c r="C5" s="10" t="s">
        <v>18</v>
      </c>
      <c r="D5" s="10" t="s">
        <v>19</v>
      </c>
      <c r="E5" s="14">
        <f>+919870701570</f>
        <v>919870701570</v>
      </c>
      <c r="F5" s="10" t="s">
        <v>20</v>
      </c>
      <c r="G5" s="10" t="s">
        <v>21</v>
      </c>
      <c r="H5" s="10" t="s">
        <v>22</v>
      </c>
      <c r="I5" s="10" t="s">
        <v>23</v>
      </c>
      <c r="J5" s="10" t="s">
        <v>24</v>
      </c>
      <c r="K5" s="10" t="s">
        <v>25</v>
      </c>
      <c r="L5" s="10" t="s">
        <v>26</v>
      </c>
      <c r="M5" s="9" t="str">
        <f>IF(OR(COUNTIF(data!A5:L5,"*PGS*")&gt;0,COUNTIF(data!A5:L5,"*consultation*")&gt;0),"Converted","Not Converted")</f>
        <v>Not Converted</v>
      </c>
    </row>
    <row r="6">
      <c r="A6" s="6">
        <v>31.0</v>
      </c>
      <c r="B6" s="6" t="s">
        <v>8</v>
      </c>
      <c r="C6" s="10" t="s">
        <v>27</v>
      </c>
      <c r="D6" s="10" t="s">
        <v>28</v>
      </c>
      <c r="E6" s="14">
        <f>+919839358613</f>
        <v>919839358613</v>
      </c>
      <c r="F6" s="10" t="s">
        <v>29</v>
      </c>
      <c r="G6" s="10" t="s">
        <v>30</v>
      </c>
      <c r="H6" s="10" t="s">
        <v>31</v>
      </c>
      <c r="I6" s="15" t="s">
        <v>32</v>
      </c>
      <c r="J6" s="15" t="s">
        <v>33</v>
      </c>
      <c r="K6" s="10" t="s">
        <v>25</v>
      </c>
      <c r="L6" s="10" t="s">
        <v>34</v>
      </c>
      <c r="M6" s="9" t="str">
        <f>IF(OR(COUNTIF(data!A6:L6,"*PGS*")&gt;0,COUNTIF(data!A6:L6,"*consultation*")&gt;0),"Converted","Not Converted")</f>
        <v>Converted</v>
      </c>
    </row>
    <row r="7">
      <c r="A7" s="6">
        <v>24.0</v>
      </c>
      <c r="B7" s="6" t="s">
        <v>8</v>
      </c>
      <c r="C7" s="10" t="s">
        <v>27</v>
      </c>
      <c r="D7" s="10" t="s">
        <v>35</v>
      </c>
      <c r="E7" s="14">
        <f>+919029011768</f>
        <v>919029011768</v>
      </c>
      <c r="F7" s="10" t="s">
        <v>36</v>
      </c>
      <c r="G7" s="10" t="s">
        <v>11</v>
      </c>
      <c r="H7" s="10" t="s">
        <v>22</v>
      </c>
      <c r="I7" s="10" t="s">
        <v>37</v>
      </c>
      <c r="J7" s="10" t="s">
        <v>25</v>
      </c>
      <c r="K7" s="11"/>
      <c r="L7" s="11"/>
      <c r="M7" s="9" t="str">
        <f>IF(OR(COUNTIF(data!A7:L7,"*PGS*")&gt;0,COUNTIF(data!A7:L7,"*consultation*")&gt;0),"Converted","Not Converted")</f>
        <v>Not Converted</v>
      </c>
    </row>
    <row r="8">
      <c r="A8" s="6">
        <v>32.0</v>
      </c>
      <c r="B8" s="6" t="s">
        <v>8</v>
      </c>
      <c r="C8" s="10" t="s">
        <v>27</v>
      </c>
      <c r="D8" s="10" t="s">
        <v>38</v>
      </c>
      <c r="E8" s="14">
        <f>+919608286661</f>
        <v>919608286661</v>
      </c>
      <c r="F8" s="10" t="s">
        <v>39</v>
      </c>
      <c r="G8" s="10" t="s">
        <v>40</v>
      </c>
      <c r="H8" s="10" t="s">
        <v>41</v>
      </c>
      <c r="I8" s="13" t="s">
        <v>42</v>
      </c>
      <c r="J8" s="10" t="s">
        <v>43</v>
      </c>
      <c r="K8" s="11"/>
      <c r="L8" s="11"/>
      <c r="M8" s="9" t="str">
        <f>IF(OR(COUNTIF(data!A8:L8,"*PGS*")&gt;0,COUNTIF(data!A8:L8,"*consultation*")&gt;0),"Converted","Not Converted")</f>
        <v>Not Converted</v>
      </c>
    </row>
    <row r="9">
      <c r="A9" s="6">
        <v>30.0</v>
      </c>
      <c r="B9" s="6" t="s">
        <v>8</v>
      </c>
      <c r="C9" s="10" t="s">
        <v>18</v>
      </c>
      <c r="D9" s="10" t="s">
        <v>44</v>
      </c>
      <c r="E9" s="14">
        <f>+919819850075</f>
        <v>919819850075</v>
      </c>
      <c r="F9" s="10" t="s">
        <v>45</v>
      </c>
      <c r="G9" s="10" t="s">
        <v>46</v>
      </c>
      <c r="H9" s="10" t="s">
        <v>31</v>
      </c>
      <c r="I9" s="10" t="s">
        <v>47</v>
      </c>
      <c r="J9" s="10" t="s">
        <v>48</v>
      </c>
      <c r="K9" s="10" t="s">
        <v>49</v>
      </c>
      <c r="L9" s="11"/>
      <c r="M9" s="9" t="str">
        <f>IF(OR(COUNTIF(data!A9:L9,"*PGS*")&gt;0,COUNTIF(data!A9:L9,"*consultation*")&gt;0),"Converted","Not Converted")</f>
        <v>Converted</v>
      </c>
    </row>
    <row r="10">
      <c r="A10" s="6">
        <v>12.0</v>
      </c>
      <c r="B10" s="6" t="s">
        <v>8</v>
      </c>
      <c r="C10" s="6" t="s">
        <v>9</v>
      </c>
      <c r="D10" s="6" t="s">
        <v>50</v>
      </c>
      <c r="E10" s="6">
        <f>+919920790280</f>
        <v>919920790280</v>
      </c>
      <c r="F10" s="6" t="s">
        <v>51</v>
      </c>
      <c r="G10" s="7" t="s">
        <v>52</v>
      </c>
      <c r="H10" s="11"/>
      <c r="I10" s="8"/>
      <c r="J10" s="8"/>
      <c r="K10" s="8"/>
      <c r="L10" s="8"/>
      <c r="M10" s="9" t="str">
        <f>IF(OR(COUNTIF(data!A10:L10,"*PGS*")&gt;0,COUNTIF(data!A10:L10,"*consultation*")&gt;0),"Converted","Not Converted")</f>
        <v>Not Converted</v>
      </c>
    </row>
    <row r="11">
      <c r="A11" s="6">
        <v>2.0</v>
      </c>
      <c r="B11" s="6" t="s">
        <v>8</v>
      </c>
      <c r="C11" s="6" t="s">
        <v>18</v>
      </c>
      <c r="D11" s="6" t="s">
        <v>53</v>
      </c>
      <c r="E11" s="6">
        <f>+919833828185</f>
        <v>919833828185</v>
      </c>
      <c r="F11" s="6" t="s">
        <v>54</v>
      </c>
      <c r="G11" s="7" t="s">
        <v>55</v>
      </c>
      <c r="H11" s="8"/>
      <c r="I11" s="8"/>
      <c r="J11" s="8"/>
      <c r="K11" s="8"/>
      <c r="L11" s="8"/>
      <c r="M11" s="9" t="str">
        <f>IF(OR(COUNTIF(data!A11:L11,"*PGS*")&gt;0,COUNTIF(data!A11:L11,"*consultation*")&gt;0),"Converted","Not Converted")</f>
        <v>Not Converted</v>
      </c>
    </row>
    <row r="12">
      <c r="A12" s="6">
        <v>25.0</v>
      </c>
      <c r="B12" s="6" t="s">
        <v>8</v>
      </c>
      <c r="C12" s="10" t="s">
        <v>27</v>
      </c>
      <c r="D12" s="10" t="s">
        <v>56</v>
      </c>
      <c r="E12" s="14">
        <f>+18286826991</f>
        <v>18286826991</v>
      </c>
      <c r="F12" s="10" t="s">
        <v>57</v>
      </c>
      <c r="G12" s="10" t="s">
        <v>11</v>
      </c>
      <c r="H12" s="10" t="s">
        <v>58</v>
      </c>
      <c r="I12" s="11"/>
      <c r="J12" s="11"/>
      <c r="K12" s="11"/>
      <c r="L12" s="11"/>
      <c r="M12" s="9" t="str">
        <f>IF(OR(COUNTIF(data!A12:L12,"*PGS*")&gt;0,COUNTIF(data!A12:L12,"*consultation*")&gt;0),"Converted","Not Converted")</f>
        <v>Not Converted</v>
      </c>
    </row>
    <row r="13">
      <c r="A13" s="6">
        <v>33.0</v>
      </c>
      <c r="B13" s="6" t="s">
        <v>8</v>
      </c>
      <c r="C13" s="10" t="s">
        <v>18</v>
      </c>
      <c r="D13" s="10" t="s">
        <v>59</v>
      </c>
      <c r="E13" s="14">
        <f>+18779949437</f>
        <v>18779949437</v>
      </c>
      <c r="F13" s="10" t="s">
        <v>60</v>
      </c>
      <c r="G13" s="10" t="s">
        <v>61</v>
      </c>
      <c r="H13" s="10" t="s">
        <v>62</v>
      </c>
      <c r="I13" s="10" t="s">
        <v>63</v>
      </c>
      <c r="J13" s="10" t="s">
        <v>25</v>
      </c>
      <c r="K13" s="10" t="s">
        <v>49</v>
      </c>
      <c r="L13" s="10" t="s">
        <v>64</v>
      </c>
      <c r="M13" s="9" t="str">
        <f>IF(OR(COUNTIF(data!A13:L13,"*PGS*")&gt;0,COUNTIF(data!A13:L13,"*consultation*")&gt;0),"Converted","Not Converted")</f>
        <v>Not Converted</v>
      </c>
    </row>
    <row r="14">
      <c r="A14" s="6">
        <v>36.0</v>
      </c>
      <c r="B14" s="6" t="s">
        <v>8</v>
      </c>
      <c r="C14" s="10" t="s">
        <v>18</v>
      </c>
      <c r="D14" s="10" t="s">
        <v>65</v>
      </c>
      <c r="E14" s="14">
        <f>+918767810001</f>
        <v>918767810001</v>
      </c>
      <c r="F14" s="10" t="s">
        <v>66</v>
      </c>
      <c r="G14" s="10" t="s">
        <v>11</v>
      </c>
      <c r="H14" s="6" t="s">
        <v>49</v>
      </c>
      <c r="I14" s="10" t="s">
        <v>67</v>
      </c>
      <c r="J14" s="16" t="s">
        <v>68</v>
      </c>
      <c r="K14" s="15" t="s">
        <v>69</v>
      </c>
      <c r="L14" s="11"/>
      <c r="M14" s="9" t="str">
        <f>IF(OR(COUNTIF(data!A14:L14,"*PGS*")&gt;0,COUNTIF(data!A14:L14,"*consultation*")&gt;0),"Converted","Not Converted")</f>
        <v>Converted</v>
      </c>
    </row>
    <row r="15">
      <c r="A15" s="6">
        <v>21.0</v>
      </c>
      <c r="B15" s="6" t="s">
        <v>8</v>
      </c>
      <c r="C15" s="10" t="s">
        <v>27</v>
      </c>
      <c r="D15" s="10" t="s">
        <v>70</v>
      </c>
      <c r="E15" s="10" t="s">
        <v>71</v>
      </c>
      <c r="F15" s="10" t="s">
        <v>72</v>
      </c>
      <c r="G15" s="10" t="s">
        <v>73</v>
      </c>
      <c r="H15" s="10" t="s">
        <v>74</v>
      </c>
      <c r="I15" s="10" t="s">
        <v>75</v>
      </c>
      <c r="J15" s="10" t="s">
        <v>48</v>
      </c>
      <c r="K15" s="10" t="s">
        <v>49</v>
      </c>
      <c r="L15" s="11"/>
      <c r="M15" s="9" t="str">
        <f>IF(OR(COUNTIF(data!A15:L15,"*PGS*")&gt;0,COUNTIF(data!A15:L15,"*consultation*")&gt;0),"Converted","Not Converted")</f>
        <v>Not Converted</v>
      </c>
    </row>
    <row r="16">
      <c r="A16" s="6">
        <v>29.0</v>
      </c>
      <c r="B16" s="6" t="s">
        <v>8</v>
      </c>
      <c r="C16" s="17" t="s">
        <v>27</v>
      </c>
      <c r="D16" s="17" t="s">
        <v>70</v>
      </c>
      <c r="E16" s="18">
        <f>+917529075894</f>
        <v>917529075894</v>
      </c>
      <c r="F16" s="17" t="s">
        <v>72</v>
      </c>
      <c r="G16" s="17" t="s">
        <v>73</v>
      </c>
      <c r="H16" s="17" t="s">
        <v>76</v>
      </c>
      <c r="I16" s="19"/>
      <c r="J16" s="19"/>
      <c r="K16" s="19"/>
      <c r="L16" s="19"/>
      <c r="M16" s="9" t="str">
        <f>IF(OR(COUNTIF(data!A16:L16,"*PGS*")&gt;0,COUNTIF(data!A16:L16,"*consultation*")&gt;0),"Converted","Not Converted")</f>
        <v>Not Converted</v>
      </c>
    </row>
    <row r="17">
      <c r="A17" s="6">
        <v>11.0</v>
      </c>
      <c r="B17" s="6" t="s">
        <v>8</v>
      </c>
      <c r="C17" s="6" t="s">
        <v>9</v>
      </c>
      <c r="D17" s="6" t="s">
        <v>77</v>
      </c>
      <c r="E17" s="6">
        <f>+918308830180</f>
        <v>918308830180</v>
      </c>
      <c r="F17" s="6" t="s">
        <v>73</v>
      </c>
      <c r="G17" s="7" t="s">
        <v>78</v>
      </c>
      <c r="H17" s="11"/>
      <c r="I17" s="8"/>
      <c r="J17" s="8"/>
      <c r="K17" s="8"/>
      <c r="L17" s="8"/>
      <c r="M17" s="9" t="str">
        <f>IF(OR(COUNTIF(data!A17:L17,"*PGS*")&gt;0,COUNTIF(data!A17:L17,"*consultation*")&gt;0),"Converted","Not Converted")</f>
        <v>Not Converted</v>
      </c>
    </row>
    <row r="18">
      <c r="A18" s="6">
        <v>26.0</v>
      </c>
      <c r="B18" s="6" t="s">
        <v>8</v>
      </c>
      <c r="C18" s="10" t="s">
        <v>27</v>
      </c>
      <c r="D18" s="10" t="s">
        <v>79</v>
      </c>
      <c r="E18" s="14">
        <f>+919594416099</f>
        <v>919594416099</v>
      </c>
      <c r="F18" s="10" t="s">
        <v>80</v>
      </c>
      <c r="G18" s="10" t="s">
        <v>81</v>
      </c>
      <c r="H18" s="10" t="s">
        <v>82</v>
      </c>
      <c r="I18" s="10" t="s">
        <v>83</v>
      </c>
      <c r="J18" s="10" t="s">
        <v>84</v>
      </c>
      <c r="K18" s="11"/>
      <c r="L18" s="11"/>
      <c r="M18" s="9" t="str">
        <f>IF(OR(COUNTIF(data!A18:L18,"*PGS*")&gt;0,COUNTIF(data!A18:L18,"*consultation*")&gt;0),"Converted","Not Converted")</f>
        <v>Not Converted</v>
      </c>
    </row>
    <row r="19">
      <c r="A19" s="6">
        <v>5.0</v>
      </c>
      <c r="B19" s="6" t="s">
        <v>8</v>
      </c>
      <c r="C19" s="6" t="s">
        <v>27</v>
      </c>
      <c r="D19" s="6" t="s">
        <v>85</v>
      </c>
      <c r="E19" s="6">
        <f>+919920024132</f>
        <v>919920024132</v>
      </c>
      <c r="F19" s="6" t="s">
        <v>11</v>
      </c>
      <c r="G19" s="10" t="s">
        <v>86</v>
      </c>
      <c r="H19" s="8"/>
      <c r="I19" s="8"/>
      <c r="J19" s="8"/>
      <c r="K19" s="8"/>
      <c r="L19" s="8"/>
      <c r="M19" s="9" t="str">
        <f>IF(OR(COUNTIF(data!A19:L19,"*PGS*")&gt;0,COUNTIF(data!A19:L19,"*consultation*")&gt;0),"Converted","Not Converted")</f>
        <v>Not Converted</v>
      </c>
    </row>
    <row r="20">
      <c r="A20" s="6">
        <v>34.0</v>
      </c>
      <c r="B20" s="6" t="s">
        <v>8</v>
      </c>
      <c r="C20" s="10" t="s">
        <v>27</v>
      </c>
      <c r="D20" s="10" t="s">
        <v>87</v>
      </c>
      <c r="E20" s="14">
        <f>+918550916925</f>
        <v>918550916925</v>
      </c>
      <c r="F20" s="10" t="s">
        <v>88</v>
      </c>
      <c r="G20" s="10" t="s">
        <v>89</v>
      </c>
      <c r="H20" s="10" t="s">
        <v>90</v>
      </c>
      <c r="I20" s="10" t="s">
        <v>91</v>
      </c>
      <c r="J20" s="20" t="s">
        <v>92</v>
      </c>
      <c r="K20" s="11"/>
      <c r="L20" s="11"/>
      <c r="M20" s="9" t="str">
        <f>IF(OR(COUNTIF(data!A20:L20,"*PGS*")&gt;0,COUNTIF(data!A20:L20,"*consultation*")&gt;0),"Converted","Not Converted")</f>
        <v>Converted</v>
      </c>
    </row>
    <row r="21">
      <c r="A21" s="6">
        <v>14.0</v>
      </c>
      <c r="B21" s="6" t="s">
        <v>8</v>
      </c>
      <c r="C21" s="6" t="s">
        <v>27</v>
      </c>
      <c r="D21" s="6" t="s">
        <v>93</v>
      </c>
      <c r="E21" s="6">
        <f>+919082538611</f>
        <v>919082538611</v>
      </c>
      <c r="F21" s="6" t="s">
        <v>11</v>
      </c>
      <c r="G21" s="7" t="s">
        <v>94</v>
      </c>
      <c r="H21" s="11"/>
      <c r="I21" s="8"/>
      <c r="J21" s="8"/>
      <c r="K21" s="8"/>
      <c r="L21" s="8"/>
      <c r="M21" s="9" t="str">
        <f>IF(OR(COUNTIF(data!A21:L21,"*PGS*")&gt;0,COUNTIF(data!A21:L21,"*consultation*")&gt;0),"Converted","Not Converted")</f>
        <v>Not Converted</v>
      </c>
    </row>
    <row r="22">
      <c r="A22" s="6">
        <v>27.0</v>
      </c>
      <c r="B22" s="6" t="s">
        <v>8</v>
      </c>
      <c r="C22" s="10" t="s">
        <v>27</v>
      </c>
      <c r="D22" s="10" t="s">
        <v>95</v>
      </c>
      <c r="E22" s="14">
        <f>+918097170283</f>
        <v>918097170283</v>
      </c>
      <c r="F22" s="10" t="s">
        <v>96</v>
      </c>
      <c r="G22" s="10" t="s">
        <v>97</v>
      </c>
      <c r="H22" s="13" t="s">
        <v>98</v>
      </c>
      <c r="I22" s="11"/>
      <c r="J22" s="11"/>
      <c r="K22" s="11"/>
      <c r="L22" s="11"/>
      <c r="M22" s="9" t="str">
        <f>IF(OR(COUNTIF(data!A22:L22,"*PGS*")&gt;0,COUNTIF(data!A22:L22,"*consultation*")&gt;0),"Converted","Not Converted")</f>
        <v>Not Converted</v>
      </c>
    </row>
    <row r="23">
      <c r="A23" s="6">
        <v>13.0</v>
      </c>
      <c r="B23" s="6" t="s">
        <v>8</v>
      </c>
      <c r="C23" s="6" t="s">
        <v>27</v>
      </c>
      <c r="D23" s="6" t="s">
        <v>99</v>
      </c>
      <c r="E23" s="6">
        <f>+918291720980</f>
        <v>918291720980</v>
      </c>
      <c r="F23" s="6" t="s">
        <v>11</v>
      </c>
      <c r="G23" s="7" t="s">
        <v>100</v>
      </c>
      <c r="H23" s="11"/>
      <c r="I23" s="8"/>
      <c r="J23" s="8"/>
      <c r="K23" s="8"/>
      <c r="L23" s="8"/>
      <c r="M23" s="9" t="str">
        <f>IF(OR(COUNTIF(data!A23:L23,"*PGS*")&gt;0,COUNTIF(data!A23:L23,"*consultation*")&gt;0),"Converted","Not Converted")</f>
        <v>Not Converted</v>
      </c>
    </row>
    <row r="24">
      <c r="A24" s="6">
        <v>7.0</v>
      </c>
      <c r="B24" s="6" t="s">
        <v>8</v>
      </c>
      <c r="C24" s="6" t="s">
        <v>9</v>
      </c>
      <c r="D24" s="6" t="s">
        <v>101</v>
      </c>
      <c r="E24" s="6">
        <f t="shared" ref="E24:E25" si="1">+919867645230</f>
        <v>919867645230</v>
      </c>
      <c r="F24" s="6" t="s">
        <v>11</v>
      </c>
      <c r="G24" s="13" t="s">
        <v>102</v>
      </c>
      <c r="H24" s="8"/>
      <c r="I24" s="8"/>
      <c r="J24" s="8"/>
      <c r="K24" s="8"/>
      <c r="L24" s="8"/>
      <c r="M24" s="9" t="str">
        <f>IF(OR(COUNTIF(data!A24:L24,"*PGS*")&gt;0,COUNTIF(data!A24:L24,"*consultation*")&gt;0),"Converted","Not Converted")</f>
        <v>Not Converted</v>
      </c>
    </row>
    <row r="25">
      <c r="A25" s="6">
        <v>35.0</v>
      </c>
      <c r="B25" s="6" t="s">
        <v>8</v>
      </c>
      <c r="C25" s="10" t="s">
        <v>9</v>
      </c>
      <c r="D25" s="10" t="s">
        <v>101</v>
      </c>
      <c r="E25" s="14">
        <f t="shared" si="1"/>
        <v>919867645230</v>
      </c>
      <c r="F25" s="10" t="s">
        <v>103</v>
      </c>
      <c r="G25" s="10" t="s">
        <v>11</v>
      </c>
      <c r="H25" s="12" t="s">
        <v>104</v>
      </c>
      <c r="I25" s="13" t="s">
        <v>105</v>
      </c>
      <c r="J25" s="10" t="s">
        <v>106</v>
      </c>
      <c r="K25" s="11"/>
      <c r="L25" s="11"/>
      <c r="M25" s="9" t="str">
        <f>IF(OR(COUNTIF(data!A25:L25,"*PGS*")&gt;0,COUNTIF(data!A25:L25,"*consultation*")&gt;0),"Converted","Not Converted")</f>
        <v>Not Converted</v>
      </c>
    </row>
    <row r="26">
      <c r="A26" s="6">
        <v>23.0</v>
      </c>
      <c r="B26" s="6" t="s">
        <v>8</v>
      </c>
      <c r="C26" s="10" t="s">
        <v>9</v>
      </c>
      <c r="D26" s="10" t="s">
        <v>107</v>
      </c>
      <c r="E26" s="14">
        <f>+918291036602</f>
        <v>918291036602</v>
      </c>
      <c r="F26" s="10" t="s">
        <v>108</v>
      </c>
      <c r="G26" s="10" t="s">
        <v>11</v>
      </c>
      <c r="H26" s="10" t="s">
        <v>22</v>
      </c>
      <c r="I26" s="10" t="s">
        <v>37</v>
      </c>
      <c r="J26" s="10" t="s">
        <v>25</v>
      </c>
      <c r="K26" s="11"/>
      <c r="L26" s="11"/>
      <c r="M26" s="9" t="str">
        <f>IF(OR(COUNTIF(data!A26:L26,"*PGS*")&gt;0,COUNTIF(data!A26:L26,"*consultation*")&gt;0),"Converted","Not Converted")</f>
        <v>Not Converted</v>
      </c>
    </row>
    <row r="27">
      <c r="A27" s="6">
        <v>9.0</v>
      </c>
      <c r="B27" s="6" t="s">
        <v>8</v>
      </c>
      <c r="C27" s="6" t="s">
        <v>9</v>
      </c>
      <c r="D27" s="6" t="s">
        <v>109</v>
      </c>
      <c r="E27" s="6">
        <f t="shared" ref="E27:E28" si="2">+18169606529</f>
        <v>18169606529</v>
      </c>
      <c r="F27" s="6" t="s">
        <v>11</v>
      </c>
      <c r="G27" s="7" t="s">
        <v>100</v>
      </c>
      <c r="H27" s="11"/>
      <c r="I27" s="8"/>
      <c r="J27" s="8"/>
      <c r="K27" s="8"/>
      <c r="L27" s="8"/>
      <c r="M27" s="9" t="str">
        <f>IF(OR(COUNTIF(data!A27:L27,"*PGS*")&gt;0,COUNTIF(data!A27:L27,"*consultation*")&gt;0),"Converted","Not Converted")</f>
        <v>Not Converted</v>
      </c>
    </row>
    <row r="28">
      <c r="A28" s="6">
        <v>20.0</v>
      </c>
      <c r="B28" s="6" t="s">
        <v>8</v>
      </c>
      <c r="C28" s="21" t="s">
        <v>9</v>
      </c>
      <c r="D28" s="21" t="s">
        <v>109</v>
      </c>
      <c r="E28" s="22">
        <f t="shared" si="2"/>
        <v>18169606529</v>
      </c>
      <c r="F28" s="21" t="s">
        <v>110</v>
      </c>
      <c r="G28" s="21" t="s">
        <v>11</v>
      </c>
      <c r="H28" s="23"/>
      <c r="I28" s="21" t="s">
        <v>111</v>
      </c>
      <c r="J28" s="21" t="s">
        <v>62</v>
      </c>
      <c r="K28" s="21" t="s">
        <v>25</v>
      </c>
      <c r="L28" s="23"/>
      <c r="M28" s="9" t="str">
        <f>IF(OR(COUNTIF(data!A28:L28,"*PGS*")&gt;0,COUNTIF(data!A28:L28,"*consultation*")&gt;0),"Converted","Not Converted")</f>
        <v>Not Converted</v>
      </c>
    </row>
    <row r="29">
      <c r="A29" s="6">
        <v>28.0</v>
      </c>
      <c r="B29" s="6" t="s">
        <v>8</v>
      </c>
      <c r="C29" s="10" t="s">
        <v>18</v>
      </c>
      <c r="D29" s="10" t="s">
        <v>112</v>
      </c>
      <c r="E29" s="14">
        <f>+918850052104</f>
        <v>918850052104</v>
      </c>
      <c r="F29" s="10" t="s">
        <v>113</v>
      </c>
      <c r="G29" s="10" t="s">
        <v>114</v>
      </c>
      <c r="H29" s="10" t="s">
        <v>115</v>
      </c>
      <c r="I29" s="11"/>
      <c r="J29" s="11"/>
      <c r="K29" s="11"/>
      <c r="L29" s="11"/>
      <c r="M29" s="9" t="str">
        <f>IF(OR(COUNTIF(data!A29:L29,"*PGS*")&gt;0,COUNTIF(data!A29:L29,"*consultation*")&gt;0),"Converted","Not Converted")</f>
        <v>Not Converted</v>
      </c>
    </row>
    <row r="30">
      <c r="A30" s="6">
        <v>18.0</v>
      </c>
      <c r="B30" s="6" t="s">
        <v>8</v>
      </c>
      <c r="C30" s="10" t="s">
        <v>18</v>
      </c>
      <c r="D30" s="10" t="s">
        <v>116</v>
      </c>
      <c r="E30" s="14">
        <f>+917506259177</f>
        <v>917506259177</v>
      </c>
      <c r="F30" s="10" t="s">
        <v>117</v>
      </c>
      <c r="G30" s="10" t="s">
        <v>51</v>
      </c>
      <c r="H30" s="11"/>
      <c r="I30" s="10" t="s">
        <v>118</v>
      </c>
      <c r="J30" s="10" t="s">
        <v>31</v>
      </c>
      <c r="K30" s="10" t="s">
        <v>25</v>
      </c>
      <c r="L30" s="10" t="s">
        <v>49</v>
      </c>
      <c r="M30" s="9" t="str">
        <f>IF(OR(COUNTIF(data!A30:L30,"*PGS*")&gt;0,COUNTIF(data!A30:L30,"*consultation*")&gt;0),"Converted","Not Converted")</f>
        <v>Not Converted</v>
      </c>
    </row>
    <row r="31">
      <c r="A31" s="6">
        <v>1.0</v>
      </c>
      <c r="B31" s="6" t="s">
        <v>8</v>
      </c>
      <c r="C31" s="6" t="s">
        <v>9</v>
      </c>
      <c r="D31" s="6" t="s">
        <v>119</v>
      </c>
      <c r="E31" s="6">
        <f>+919834450169</f>
        <v>919834450169</v>
      </c>
      <c r="F31" s="6" t="s">
        <v>51</v>
      </c>
      <c r="G31" s="7" t="s">
        <v>120</v>
      </c>
      <c r="H31" s="8"/>
      <c r="I31" s="8"/>
      <c r="J31" s="8"/>
      <c r="K31" s="8"/>
      <c r="L31" s="8"/>
      <c r="M31" s="9" t="str">
        <f>IF(OR(COUNTIF(data!A31:L31,"*PGS*")&gt;0,COUNTIF(data!A31:L31,"*consultation*")&gt;0),"Converted","Not Converted")</f>
        <v>Not Converted</v>
      </c>
    </row>
    <row r="32">
      <c r="A32" s="6">
        <v>17.0</v>
      </c>
      <c r="B32" s="6" t="s">
        <v>8</v>
      </c>
      <c r="C32" s="6" t="s">
        <v>27</v>
      </c>
      <c r="D32" s="10" t="s">
        <v>119</v>
      </c>
      <c r="E32" s="10" t="s">
        <v>51</v>
      </c>
      <c r="F32" s="14">
        <f>+919834450169</f>
        <v>919834450169</v>
      </c>
      <c r="G32" s="10" t="s">
        <v>51</v>
      </c>
      <c r="H32" s="10" t="s">
        <v>120</v>
      </c>
      <c r="I32" s="10" t="s">
        <v>121</v>
      </c>
      <c r="J32" s="10" t="s">
        <v>122</v>
      </c>
      <c r="K32" s="10" t="s">
        <v>123</v>
      </c>
      <c r="L32" s="10" t="s">
        <v>124</v>
      </c>
      <c r="M32" s="9" t="str">
        <f>IF(OR(COUNTIF(data!A32:L32,"*PGS*")&gt;0,COUNTIF(data!A32:L32,"*consultation*")&gt;0),"Converted","Not Converted")</f>
        <v>Converted</v>
      </c>
    </row>
    <row r="33">
      <c r="A33" s="6">
        <v>16.0</v>
      </c>
      <c r="B33" s="6" t="s">
        <v>8</v>
      </c>
      <c r="C33" s="6" t="s">
        <v>27</v>
      </c>
      <c r="D33" s="6" t="s">
        <v>125</v>
      </c>
      <c r="E33" s="6">
        <f>+919920003524</f>
        <v>919920003524</v>
      </c>
      <c r="F33" s="6" t="s">
        <v>11</v>
      </c>
      <c r="G33" s="10" t="s">
        <v>126</v>
      </c>
      <c r="H33" s="10" t="s">
        <v>127</v>
      </c>
      <c r="I33" s="8"/>
      <c r="J33" s="8"/>
      <c r="K33" s="8"/>
      <c r="L33" s="8"/>
      <c r="M33" s="9" t="str">
        <f>IF(OR(COUNTIF(data!A33:L33,"*PGS*")&gt;0,COUNTIF(data!A33:L33,"*consultation*")&gt;0),"Converted","Not Converted")</f>
        <v>Converted</v>
      </c>
    </row>
    <row r="34">
      <c r="A34" s="6">
        <v>6.0</v>
      </c>
      <c r="B34" s="6" t="s">
        <v>8</v>
      </c>
      <c r="C34" s="6" t="s">
        <v>27</v>
      </c>
      <c r="D34" s="6" t="s">
        <v>128</v>
      </c>
      <c r="E34" s="6">
        <f>+919137391780</f>
        <v>919137391780</v>
      </c>
      <c r="F34" s="6" t="s">
        <v>129</v>
      </c>
      <c r="G34" s="10" t="s">
        <v>86</v>
      </c>
      <c r="H34" s="8"/>
      <c r="I34" s="8"/>
      <c r="J34" s="8"/>
      <c r="K34" s="8"/>
      <c r="L34" s="8"/>
      <c r="M34" s="9" t="str">
        <f>IF(OR(COUNTIF(data!A34:L34,"*PGS*")&gt;0,COUNTIF(data!A34:L34,"*consultation*")&gt;0),"Converted","Not Converted")</f>
        <v>Not Converted</v>
      </c>
    </row>
    <row r="35">
      <c r="A35" s="6">
        <v>19.0</v>
      </c>
      <c r="B35" s="6" t="s">
        <v>8</v>
      </c>
      <c r="C35" s="10" t="s">
        <v>27</v>
      </c>
      <c r="D35" s="10" t="s">
        <v>130</v>
      </c>
      <c r="E35" s="14">
        <f>+919372381762</f>
        <v>919372381762</v>
      </c>
      <c r="F35" s="10" t="s">
        <v>131</v>
      </c>
      <c r="G35" s="10" t="s">
        <v>51</v>
      </c>
      <c r="H35" s="11"/>
      <c r="I35" s="10" t="s">
        <v>132</v>
      </c>
      <c r="J35" s="10" t="s">
        <v>25</v>
      </c>
      <c r="K35" s="10" t="s">
        <v>49</v>
      </c>
      <c r="L35" s="11"/>
      <c r="M35" s="9" t="str">
        <f>IF(OR(COUNTIF(data!A35:L35,"*PGS*")&gt;0,COUNTIF(data!A35:L35,"*consultation*")&gt;0),"Converted","Not Converted")</f>
        <v>Not Converted</v>
      </c>
    </row>
    <row r="36">
      <c r="A36" s="6">
        <v>3.0</v>
      </c>
      <c r="B36" s="6" t="s">
        <v>8</v>
      </c>
      <c r="C36" s="6" t="s">
        <v>27</v>
      </c>
      <c r="D36" s="6" t="s">
        <v>133</v>
      </c>
      <c r="E36" s="6">
        <f>+917208309456</f>
        <v>917208309456</v>
      </c>
      <c r="F36" s="6" t="s">
        <v>11</v>
      </c>
      <c r="G36" s="10" t="s">
        <v>134</v>
      </c>
      <c r="H36" s="8"/>
      <c r="I36" s="8"/>
      <c r="J36" s="8"/>
      <c r="K36" s="8"/>
      <c r="L36" s="8"/>
      <c r="M36" s="9" t="str">
        <f>IF(OR(COUNTIF(data!A36:L36,"*PGS*")&gt;0,COUNTIF(data!A36:L36,"*consultation*")&gt;0),"Converted","Not Converted")</f>
        <v>Not Converted</v>
      </c>
    </row>
    <row r="37">
      <c r="A37" s="6">
        <v>8.0</v>
      </c>
      <c r="B37" s="6" t="s">
        <v>8</v>
      </c>
      <c r="C37" s="12" t="s">
        <v>9</v>
      </c>
      <c r="D37" s="11"/>
      <c r="E37" s="7">
        <v>9.152301371E9</v>
      </c>
      <c r="F37" s="8"/>
      <c r="G37" s="7" t="s">
        <v>135</v>
      </c>
      <c r="H37" s="8"/>
      <c r="I37" s="8"/>
      <c r="J37" s="8"/>
      <c r="K37" s="8"/>
      <c r="L37" s="8"/>
      <c r="M37" s="9" t="str">
        <f>IF(OR(COUNTIF(data!A37:L37,"*PGS*")&gt;0,COUNTIF(data!A37:L37,"*consultation*")&gt;0),"Converted","Not Converted")</f>
        <v>Not Converted</v>
      </c>
    </row>
    <row r="38">
      <c r="B38" s="6"/>
    </row>
    <row r="39">
      <c r="B39" s="6"/>
    </row>
    <row r="40">
      <c r="B40" s="6"/>
    </row>
    <row r="41">
      <c r="B41" s="6"/>
    </row>
    <row r="42">
      <c r="B42" s="6"/>
    </row>
    <row r="43">
      <c r="B43" s="6"/>
    </row>
    <row r="44">
      <c r="B44" s="6"/>
    </row>
    <row r="45">
      <c r="B45" s="6"/>
    </row>
    <row r="46">
      <c r="B46" s="6"/>
    </row>
    <row r="47">
      <c r="B47" s="6"/>
    </row>
  </sheetData>
  <autoFilter ref="$A$1:$Z$1000"/>
  <conditionalFormatting sqref="D1:D1000">
    <cfRule type="expression" dxfId="0" priority="1">
      <formula>countif(A:A,A1)&gt;1</formula>
    </cfRule>
  </conditionalFormatting>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3" max="3" width="26.88"/>
    <col customWidth="1" min="7" max="7" width="13.0"/>
    <col customWidth="1" min="9" max="9" width="14.0"/>
  </cols>
  <sheetData>
    <row r="2">
      <c r="A2" s="24"/>
    </row>
    <row r="3">
      <c r="A3" s="25"/>
    </row>
    <row r="4">
      <c r="C4" s="26" t="s">
        <v>136</v>
      </c>
      <c r="E4" s="27" t="s">
        <v>137</v>
      </c>
      <c r="G4" s="27" t="s">
        <v>138</v>
      </c>
      <c r="I4" s="27" t="s">
        <v>139</v>
      </c>
    </row>
    <row r="5">
      <c r="C5" s="28">
        <f>COUNTA(data!D:D)</f>
        <v>36</v>
      </c>
      <c r="E5" s="29">
        <f>IFERROR(__xludf.DUMMYFUNCTION("COUNTUNIQUE(data!D:D)"),32.0)</f>
        <v>32</v>
      </c>
      <c r="G5" s="29">
        <f>COUNTIF(data!A:L,"*Does not have any concern*")+COUNTIF(data!A:L,"*Does not have any issue*")</f>
        <v>2</v>
      </c>
      <c r="I5" s="29">
        <f>C5-E5</f>
        <v>4</v>
      </c>
    </row>
    <row r="8">
      <c r="B8" s="8"/>
      <c r="C8" s="8"/>
      <c r="D8" s="8"/>
    </row>
    <row r="9">
      <c r="B9" s="8"/>
      <c r="C9" s="30"/>
      <c r="D9" s="8"/>
    </row>
    <row r="10">
      <c r="B10" s="8"/>
      <c r="C10" s="31"/>
      <c r="D10" s="8"/>
      <c r="G10" s="32"/>
      <c r="H10" s="32"/>
      <c r="I10" s="32"/>
      <c r="J10" s="32"/>
    </row>
    <row r="11">
      <c r="B11" s="8"/>
      <c r="C11" s="8"/>
      <c r="D11" s="8"/>
      <c r="G11" s="27" t="s">
        <v>140</v>
      </c>
      <c r="H11" s="32"/>
      <c r="I11" s="27" t="s">
        <v>141</v>
      </c>
      <c r="J11" s="32"/>
    </row>
    <row r="12">
      <c r="B12" s="8"/>
      <c r="C12" s="8"/>
      <c r="D12" s="8"/>
      <c r="G12" s="29">
        <f>COUNTIF(data!M:M,"Converted")</f>
        <v>7</v>
      </c>
      <c r="H12" s="32"/>
      <c r="I12" s="29">
        <f>COUNTIF(data!M:M,"Not Converted")</f>
        <v>29</v>
      </c>
      <c r="J12" s="32"/>
    </row>
    <row r="13">
      <c r="B13" s="8"/>
      <c r="C13" s="8"/>
      <c r="D13" s="8"/>
      <c r="G13" s="32"/>
      <c r="H13" s="32"/>
      <c r="I13" s="32"/>
      <c r="J13" s="32"/>
    </row>
    <row r="14">
      <c r="B14" s="8"/>
      <c r="C14" s="8"/>
      <c r="D14" s="8"/>
      <c r="G14" s="32"/>
      <c r="H14" s="32"/>
      <c r="I14" s="32"/>
      <c r="J14" s="32"/>
    </row>
    <row r="15">
      <c r="G15" s="32"/>
      <c r="H15" s="32"/>
      <c r="I15" s="32"/>
      <c r="J15" s="32"/>
    </row>
    <row r="16">
      <c r="G16" s="32"/>
      <c r="H16" s="32"/>
      <c r="I16" s="32"/>
      <c r="J16" s="32"/>
    </row>
    <row r="17">
      <c r="G17" s="32"/>
      <c r="H17" s="32"/>
      <c r="I17" s="32"/>
      <c r="J17" s="32"/>
    </row>
    <row r="18">
      <c r="G18" s="32"/>
      <c r="H18" s="32"/>
      <c r="I18" s="32"/>
      <c r="J18" s="32"/>
    </row>
    <row r="19">
      <c r="G19" s="32"/>
      <c r="H19" s="32"/>
      <c r="I19" s="32"/>
      <c r="J19" s="32"/>
    </row>
  </sheetData>
  <drawing r:id="rId1"/>
</worksheet>
</file>